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nsolidatedAssets" sheetId="1" state="visible" r:id="rId3"/>
    <sheet name="ConsolidatedLiabilities" sheetId="2" state="visible" r:id="rId4"/>
    <sheet name="ConsolidatedIncomeStatement" sheetId="3" state="visible" r:id="rId5"/>
    <sheet name="Assets" sheetId="4" state="visible" r:id="rId6"/>
    <sheet name="Liabilities" sheetId="5" state="visible" r:id="rId7"/>
    <sheet name="IncomeStateme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<sst xmlns="http://schemas.openxmlformats.org/spreadsheetml/2006/main" count="461" uniqueCount="427">
  <si>
    <t xml:space="preserve">ASSETS</t>
  </si>
  <si>
    <t xml:space="preserve">Cash - Central banks -Public treasury- Postal cheque</t>
  </si>
  <si>
    <t xml:space="preserve">27 640 162</t>
  </si>
  <si>
    <t xml:space="preserve">27 722 943</t>
  </si>
  <si>
    <t xml:space="preserve">Financial assets at fair value through profit or loss (FV P&amp;L )</t>
  </si>
  <si>
    <t xml:space="preserve">78 825 369</t>
  </si>
  <si>
    <t xml:space="preserve">76 695 538</t>
  </si>
  <si>
    <t xml:space="preserve">Trading assets</t>
  </si>
  <si>
    <t xml:space="preserve">77 876 679</t>
  </si>
  <si>
    <t xml:space="preserve">75 878 854</t>
  </si>
  <si>
    <t xml:space="preserve">Other financial assets at fair value through profit or loss</t>
  </si>
  <si>
    <t xml:space="preserve">948 690</t>
  </si>
  <si>
    <t xml:space="preserve">816 684</t>
  </si>
  <si>
    <t xml:space="preserve">Derivatives used for hedging purposes</t>
  </si>
  <si>
    <t xml:space="preserve">Financial assets at fair value through other comprehensive income</t>
  </si>
  <si>
    <t xml:space="preserve">26 750 875</t>
  </si>
  <si>
    <t xml:space="preserve">34 049 427</t>
  </si>
  <si>
    <t xml:space="preserve">Debt instruments at fair value through other comprehensive income (recycling)</t>
  </si>
  <si>
    <t xml:space="preserve">23 524 222</t>
  </si>
  <si>
    <t xml:space="preserve">21 450 295</t>
  </si>
  <si>
    <t xml:space="preserve">Equity instruments at fair value through other comprehensive income (no recycling)</t>
  </si>
  <si>
    <t xml:space="preserve">3 226 653</t>
  </si>
  <si>
    <t xml:space="preserve">12 599 132</t>
  </si>
  <si>
    <t xml:space="preserve">Securities at amortised cost</t>
  </si>
  <si>
    <t xml:space="preserve">27 457 430</t>
  </si>
  <si>
    <t xml:space="preserve">30 547 034</t>
  </si>
  <si>
    <t xml:space="preserve">Loans &amp; receivables to credit institutions at amortised cost</t>
  </si>
  <si>
    <t xml:space="preserve">48 583 769</t>
  </si>
  <si>
    <t xml:space="preserve">48 692 644</t>
  </si>
  <si>
    <t xml:space="preserve">Loans &amp; receivables to customers at amortised cost</t>
  </si>
  <si>
    <t xml:space="preserve">417 409 727</t>
  </si>
  <si>
    <t xml:space="preserve">413 590 717</t>
  </si>
  <si>
    <t xml:space="preserve">Remeasurement adjustment on interest-rate risk hedged portfolios</t>
  </si>
  <si>
    <t xml:space="preserve">Financial investments of insurance activities</t>
  </si>
  <si>
    <t xml:space="preserve">55 402 809</t>
  </si>
  <si>
    <t xml:space="preserve">51 042 885</t>
  </si>
  <si>
    <t xml:space="preserve">Insurance contracts assets</t>
  </si>
  <si>
    <t xml:space="preserve">495 059</t>
  </si>
  <si>
    <t xml:space="preserve">1 252 254</t>
  </si>
  <si>
    <t xml:space="preserve">Payable tax assets</t>
  </si>
  <si>
    <t xml:space="preserve">498 933</t>
  </si>
  <si>
    <t xml:space="preserve">375 390</t>
  </si>
  <si>
    <t xml:space="preserve">Deferred tax assets</t>
  </si>
  <si>
    <t xml:space="preserve">6 326 014</t>
  </si>
  <si>
    <t xml:space="preserve">6 324 240</t>
  </si>
  <si>
    <t xml:space="preserve">Accrued income and other assets</t>
  </si>
  <si>
    <t xml:space="preserve">13 347 453</t>
  </si>
  <si>
    <t xml:space="preserve">12 326 543</t>
  </si>
  <si>
    <t xml:space="preserve">Non current assets held for sale</t>
  </si>
  <si>
    <t xml:space="preserve">73 130</t>
  </si>
  <si>
    <t xml:space="preserve">75 056</t>
  </si>
  <si>
    <t xml:space="preserve">Equity-method investments</t>
  </si>
  <si>
    <t xml:space="preserve">9 657 110</t>
  </si>
  <si>
    <t xml:space="preserve">102 120</t>
  </si>
  <si>
    <t xml:space="preserve">Investment property</t>
  </si>
  <si>
    <t xml:space="preserve">1 985 015</t>
  </si>
  <si>
    <t xml:space="preserve">2 062 545</t>
  </si>
  <si>
    <t xml:space="preserve">Property, plant, equipment</t>
  </si>
  <si>
    <t xml:space="preserve">8 925 185</t>
  </si>
  <si>
    <t xml:space="preserve">7 913 260</t>
  </si>
  <si>
    <t xml:space="preserve">Intangible assets</t>
  </si>
  <si>
    <t xml:space="preserve">4 131 657</t>
  </si>
  <si>
    <t xml:space="preserve">3 852 296</t>
  </si>
  <si>
    <t xml:space="preserve">Goodwill</t>
  </si>
  <si>
    <t xml:space="preserve">9 880 446</t>
  </si>
  <si>
    <t xml:space="preserve">9 868 056</t>
  </si>
  <si>
    <t xml:space="preserve">TOTAL ASSETS</t>
  </si>
  <si>
    <t xml:space="preserve">737 390 143</t>
  </si>
  <si>
    <t xml:space="preserve">726 492 948</t>
  </si>
  <si>
    <t xml:space="preserve">LIABILITIES</t>
  </si>
  <si>
    <t xml:space="preserve">Central banks-Public treasury-Postal cheque</t>
  </si>
  <si>
    <t xml:space="preserve">12 313</t>
  </si>
  <si>
    <t xml:space="preserve">Financial liabilities at fair value through profit or loss (FV&amp;PL)</t>
  </si>
  <si>
    <t xml:space="preserve">1 603 160</t>
  </si>
  <si>
    <t xml:space="preserve">1 716 269</t>
  </si>
  <si>
    <t xml:space="preserve">Trading liabilities</t>
  </si>
  <si>
    <t xml:space="preserve">Other financial liabilities at fair value through profit or loss</t>
  </si>
  <si>
    <t xml:space="preserve">Deposits from credit institutions</t>
  </si>
  <si>
    <t xml:space="preserve">52 864 268</t>
  </si>
  <si>
    <t xml:space="preserve">58 977 903</t>
  </si>
  <si>
    <t xml:space="preserve">Deposits from customers</t>
  </si>
  <si>
    <t xml:space="preserve">486 828 947</t>
  </si>
  <si>
    <t xml:space="preserve">480 478 661</t>
  </si>
  <si>
    <t xml:space="preserve">Notes &amp; certificates issued</t>
  </si>
  <si>
    <t xml:space="preserve">16 432 629</t>
  </si>
  <si>
    <t xml:space="preserve">17 831 828</t>
  </si>
  <si>
    <t xml:space="preserve">Payable tax liabilities</t>
  </si>
  <si>
    <t xml:space="preserve">2 487 898</t>
  </si>
  <si>
    <t xml:space="preserve">2 583 982</t>
  </si>
  <si>
    <t xml:space="preserve">Deferred tax liabilities</t>
  </si>
  <si>
    <t xml:space="preserve">5 534 120</t>
  </si>
  <si>
    <t xml:space="preserve">5 151 098</t>
  </si>
  <si>
    <t xml:space="preserve">Accured expenses and other liabilities</t>
  </si>
  <si>
    <t xml:space="preserve">26 521 102</t>
  </si>
  <si>
    <t xml:space="preserve">19 898 360</t>
  </si>
  <si>
    <t xml:space="preserve">Debts related to non current assets held for sale</t>
  </si>
  <si>
    <t xml:space="preserve">Insurance contracts liabilities</t>
  </si>
  <si>
    <t xml:space="preserve">48 448 390</t>
  </si>
  <si>
    <t xml:space="preserve">46 083 636</t>
  </si>
  <si>
    <t xml:space="preserve">Provisions</t>
  </si>
  <si>
    <t xml:space="preserve">3 852 368</t>
  </si>
  <si>
    <t xml:space="preserve">3 770 785</t>
  </si>
  <si>
    <t xml:space="preserve">Subsidies and allocated funds</t>
  </si>
  <si>
    <t xml:space="preserve">132 489</t>
  </si>
  <si>
    <t xml:space="preserve">153 360</t>
  </si>
  <si>
    <t xml:space="preserve">Subordinated debts and special guarantee funds</t>
  </si>
  <si>
    <t xml:space="preserve">17 842 054</t>
  </si>
  <si>
    <t xml:space="preserve">17 344 140</t>
  </si>
  <si>
    <t xml:space="preserve">Shareholders' equity</t>
  </si>
  <si>
    <t xml:space="preserve">74 830 405</t>
  </si>
  <si>
    <t xml:space="preserve">72 502 834</t>
  </si>
  <si>
    <t xml:space="preserve">Equity and related reserves</t>
  </si>
  <si>
    <t xml:space="preserve">14 655 001</t>
  </si>
  <si>
    <t xml:space="preserve">14 646 116</t>
  </si>
  <si>
    <t xml:space="preserve">Consolidated reserves</t>
  </si>
  <si>
    <t xml:space="preserve">51 313 862</t>
  </si>
  <si>
    <t xml:space="preserve">44 685 721</t>
  </si>
  <si>
    <t xml:space="preserve">Group share</t>
  </si>
  <si>
    <t xml:space="preserve">43 275 728</t>
  </si>
  <si>
    <t xml:space="preserve">37 791 270</t>
  </si>
  <si>
    <t xml:space="preserve">Non-controlling interests</t>
  </si>
  <si>
    <t xml:space="preserve">8 038 134</t>
  </si>
  <si>
    <t xml:space="preserve">6 894 451</t>
  </si>
  <si>
    <t xml:space="preserve">Unrealized or deferred Gains / losses</t>
  </si>
  <si>
    <t xml:space="preserve">1 960 630</t>
  </si>
  <si>
    <t xml:space="preserve">1 488 223</t>
  </si>
  <si>
    <t xml:space="preserve">693 987</t>
  </si>
  <si>
    <t xml:space="preserve">514 260</t>
  </si>
  <si>
    <t xml:space="preserve">1 266 643</t>
  </si>
  <si>
    <t xml:space="preserve">973 963</t>
  </si>
  <si>
    <t xml:space="preserve">Net income</t>
  </si>
  <si>
    <t xml:space="preserve">6 900 912</t>
  </si>
  <si>
    <t xml:space="preserve">11 682 774</t>
  </si>
  <si>
    <t xml:space="preserve">5 878 666</t>
  </si>
  <si>
    <t xml:space="preserve">9 504 486</t>
  </si>
  <si>
    <t xml:space="preserve">1 022 246</t>
  </si>
  <si>
    <t xml:space="preserve">2 178 288</t>
  </si>
  <si>
    <t xml:space="preserve">TOTAL LIABILITIES</t>
  </si>
  <si>
    <t xml:space="preserve">Results</t>
  </si>
  <si>
    <t xml:space="preserve">Interest income</t>
  </si>
  <si>
    <t xml:space="preserve">15 271 670</t>
  </si>
  <si>
    <t xml:space="preserve">14 732 314</t>
  </si>
  <si>
    <t xml:space="preserve">Interest expenses</t>
  </si>
  <si>
    <t xml:space="preserve">-4 892 335</t>
  </si>
  <si>
    <t xml:space="preserve">-4 850 391</t>
  </si>
  <si>
    <t xml:space="preserve">NET INTEREST MARGIN</t>
  </si>
  <si>
    <t xml:space="preserve">10 379 335</t>
  </si>
  <si>
    <t xml:space="preserve">9 881 923</t>
  </si>
  <si>
    <t xml:space="preserve">Fees income</t>
  </si>
  <si>
    <t xml:space="preserve">3 864 357</t>
  </si>
  <si>
    <t xml:space="preserve">3 631 457</t>
  </si>
  <si>
    <t xml:space="preserve">Fees expenses</t>
  </si>
  <si>
    <t xml:space="preserve">-391 990</t>
  </si>
  <si>
    <t xml:space="preserve">-371 815</t>
  </si>
  <si>
    <t xml:space="preserve">NET FEE MARGIN</t>
  </si>
  <si>
    <t xml:space="preserve">3 472 367</t>
  </si>
  <si>
    <t xml:space="preserve">3 259 642</t>
  </si>
  <si>
    <t xml:space="preserve">Net gains or losses occured by the hedging of net positions</t>
  </si>
  <si>
    <t xml:space="preserve">Net gains or losses on financial instruments at fair value through profit or loss</t>
  </si>
  <si>
    <t xml:space="preserve">2 847 026</t>
  </si>
  <si>
    <t xml:space="preserve">2 813 670</t>
  </si>
  <si>
    <t xml:space="preserve">Net gains or losses on trading assets</t>
  </si>
  <si>
    <t xml:space="preserve">2 832 843</t>
  </si>
  <si>
    <t xml:space="preserve">2 815 235</t>
  </si>
  <si>
    <t xml:space="preserve">Net gains or losses on other assets at fair value through profit or loss</t>
  </si>
  <si>
    <t xml:space="preserve">14 183</t>
  </si>
  <si>
    <t xml:space="preserve">-1 565</t>
  </si>
  <si>
    <t xml:space="preserve">Net gains or losses on financial assets at fair value through other comprehensive income</t>
  </si>
  <si>
    <t xml:space="preserve">168 350</t>
  </si>
  <si>
    <t xml:space="preserve">258 864</t>
  </si>
  <si>
    <t xml:space="preserve">Net gains or losses on debt instruments at fair value through other comprehensive income (recycling)</t>
  </si>
  <si>
    <t xml:space="preserve">38 786</t>
  </si>
  <si>
    <t xml:space="preserve">57 836</t>
  </si>
  <si>
    <t xml:space="preserve">Remuneration of equity instruments measured at fair value through other comprehensive income</t>
  </si>
  <si>
    <t xml:space="preserve">that will not be reclassified subsequently to profit or loss (dividends)</t>
  </si>
  <si>
    <t xml:space="preserve">129 564</t>
  </si>
  <si>
    <t xml:space="preserve">201 028</t>
  </si>
  <si>
    <t xml:space="preserve">Net gains or losses on derecognised financial assets at amortised cost</t>
  </si>
  <si>
    <t xml:space="preserve">Net gains or losses on reclassified financial assets at fair value through comprehensive income</t>
  </si>
  <si>
    <t xml:space="preserve">to financial assets through profit or loss</t>
  </si>
  <si>
    <t xml:space="preserve">Income on other activities</t>
  </si>
  <si>
    <t xml:space="preserve">578 201</t>
  </si>
  <si>
    <t xml:space="preserve">503 564</t>
  </si>
  <si>
    <t xml:space="preserve">Expenses on other activities</t>
  </si>
  <si>
    <t xml:space="preserve">-923 810</t>
  </si>
  <si>
    <t xml:space="preserve">-793 587</t>
  </si>
  <si>
    <t xml:space="preserve">Net income from insurance activities</t>
  </si>
  <si>
    <t xml:space="preserve">1 174 050</t>
  </si>
  <si>
    <t xml:space="preserve">1 098 464</t>
  </si>
  <si>
    <t xml:space="preserve">NET BANKING INCOME</t>
  </si>
  <si>
    <t xml:space="preserve">17 695 519</t>
  </si>
  <si>
    <t xml:space="preserve">17 022 540</t>
  </si>
  <si>
    <t xml:space="preserve">Total operating expenses</t>
  </si>
  <si>
    <t xml:space="preserve">-5 555 468</t>
  </si>
  <si>
    <t xml:space="preserve">-5 329 472</t>
  </si>
  <si>
    <t xml:space="preserve">Depreciation, amortisation and impairment of property, plant and equipment and intangible assets</t>
  </si>
  <si>
    <t xml:space="preserve">-695 664</t>
  </si>
  <si>
    <t xml:space="preserve">-710 831</t>
  </si>
  <si>
    <t xml:space="preserve">GROSS OPERATING INCOME</t>
  </si>
  <si>
    <t xml:space="preserve">11 444 387</t>
  </si>
  <si>
    <t xml:space="preserve">10 982 237</t>
  </si>
  <si>
    <t xml:space="preserve">COST OF RISK</t>
  </si>
  <si>
    <t xml:space="preserve">-1 389 715</t>
  </si>
  <si>
    <t xml:space="preserve">-2 198 345</t>
  </si>
  <si>
    <t xml:space="preserve">NET OPERATING INCOME</t>
  </si>
  <si>
    <t xml:space="preserve">10 054 672</t>
  </si>
  <si>
    <t xml:space="preserve">8 783 892</t>
  </si>
  <si>
    <t xml:space="preserve">+/- Share of earnings of associates and equity-method entities</t>
  </si>
  <si>
    <t xml:space="preserve">230 518</t>
  </si>
  <si>
    <t xml:space="preserve">3 658</t>
  </si>
  <si>
    <t xml:space="preserve">Net gains or losses on other assets</t>
  </si>
  <si>
    <t xml:space="preserve">34 600</t>
  </si>
  <si>
    <t xml:space="preserve">2 977</t>
  </si>
  <si>
    <t xml:space="preserve">Goodwill variation values</t>
  </si>
  <si>
    <t xml:space="preserve">PRE-TAX INCOME</t>
  </si>
  <si>
    <t xml:space="preserve">10 319 790</t>
  </si>
  <si>
    <t xml:space="preserve">8 790 527</t>
  </si>
  <si>
    <t xml:space="preserve">Net income tax</t>
  </si>
  <si>
    <t xml:space="preserve">-3 418 878</t>
  </si>
  <si>
    <t xml:space="preserve">-3 022 893</t>
  </si>
  <si>
    <t xml:space="preserve">Net income from discounted or held-for-sale operations</t>
  </si>
  <si>
    <t xml:space="preserve">NET INCOME</t>
  </si>
  <si>
    <t xml:space="preserve">5 767 634</t>
  </si>
  <si>
    <t xml:space="preserve">-1 022 246</t>
  </si>
  <si>
    <t xml:space="preserve">-862 031</t>
  </si>
  <si>
    <t xml:space="preserve">NET INCOME GROUP SHARE (or owners of the parent company)</t>
  </si>
  <si>
    <t xml:space="preserve">4 905 603</t>
  </si>
  <si>
    <t xml:space="preserve">Earnings per share (in MAD)</t>
  </si>
  <si>
    <t xml:space="preserve">27,32</t>
  </si>
  <si>
    <t xml:space="preserve">22,80</t>
  </si>
  <si>
    <t xml:space="preserve">Diluted earnings per share (in MAD)</t>
  </si>
  <si>
    <t xml:space="preserve">Cash and balances with central banks, the treasury and post office accounts</t>
  </si>
  <si>
    <t xml:space="preserve">13 018 266</t>
  </si>
  <si>
    <t xml:space="preserve">16 034 126</t>
  </si>
  <si>
    <t xml:space="preserve">Loans and advances to credit institutions and similar establishments</t>
  </si>
  <si>
    <t xml:space="preserve">49 223 502</t>
  </si>
  <si>
    <t xml:space="preserve">45 580 416</t>
  </si>
  <si>
    <t xml:space="preserve">. Sight</t>
  </si>
  <si>
    <t xml:space="preserve">7 177 077</t>
  </si>
  <si>
    <t xml:space="preserve">10 838 647</t>
  </si>
  <si>
    <t xml:space="preserve">. Term</t>
  </si>
  <si>
    <t xml:space="preserve">42 046 425</t>
  </si>
  <si>
    <t xml:space="preserve">34 741 769</t>
  </si>
  <si>
    <t xml:space="preserve">Loans and advances to customers</t>
  </si>
  <si>
    <t xml:space="preserve">274 850 988</t>
  </si>
  <si>
    <t xml:space="preserve">271 414 638</t>
  </si>
  <si>
    <t xml:space="preserve">. Short-term &amp; consumer loans and participatory financing</t>
  </si>
  <si>
    <t xml:space="preserve">72 936 339</t>
  </si>
  <si>
    <t xml:space="preserve">74 741 053</t>
  </si>
  <si>
    <t xml:space="preserve">. Equipment loans and participatory financing</t>
  </si>
  <si>
    <t xml:space="preserve">106 584 521</t>
  </si>
  <si>
    <t xml:space="preserve">99 081 464</t>
  </si>
  <si>
    <t xml:space="preserve">. Mortgage loans and participatory financing</t>
  </si>
  <si>
    <t xml:space="preserve">71 469 426</t>
  </si>
  <si>
    <t xml:space="preserve">70 351 774</t>
  </si>
  <si>
    <t xml:space="preserve">. Other loans and participatory financing</t>
  </si>
  <si>
    <t xml:space="preserve">23 860 702</t>
  </si>
  <si>
    <t xml:space="preserve">27 240 347</t>
  </si>
  <si>
    <t xml:space="preserve">Receivables acquired through factoring</t>
  </si>
  <si>
    <t xml:space="preserve">5 040 083</t>
  </si>
  <si>
    <t xml:space="preserve">6 571 411</t>
  </si>
  <si>
    <t xml:space="preserve">Trading securities and available-for-sale securities</t>
  </si>
  <si>
    <t xml:space="preserve">84 655 225</t>
  </si>
  <si>
    <t xml:space="preserve">82 726 290</t>
  </si>
  <si>
    <t xml:space="preserve">. Treasury bills and similar securities</t>
  </si>
  <si>
    <t xml:space="preserve">49 242 306</t>
  </si>
  <si>
    <t xml:space="preserve">51 910 930</t>
  </si>
  <si>
    <t xml:space="preserve">. Other debt securities</t>
  </si>
  <si>
    <t xml:space="preserve">17 196 849</t>
  </si>
  <si>
    <t xml:space="preserve">12 782 055</t>
  </si>
  <si>
    <t xml:space="preserve">. Fixed income Funds</t>
  </si>
  <si>
    <t xml:space="preserve">18 216 070</t>
  </si>
  <si>
    <t xml:space="preserve">18 033 305</t>
  </si>
  <si>
    <t xml:space="preserve">. Sukuk Certificates</t>
  </si>
  <si>
    <t xml:space="preserve">Other assets</t>
  </si>
  <si>
    <t xml:space="preserve">7 852 602</t>
  </si>
  <si>
    <t xml:space="preserve">6 752 655</t>
  </si>
  <si>
    <t xml:space="preserve">Investment securities</t>
  </si>
  <si>
    <t xml:space="preserve">12 360 198</t>
  </si>
  <si>
    <t xml:space="preserve">16 281 241</t>
  </si>
  <si>
    <t xml:space="preserve">11 062 429</t>
  </si>
  <si>
    <t xml:space="preserve">14 847 941</t>
  </si>
  <si>
    <t xml:space="preserve">1 297 769</t>
  </si>
  <si>
    <t xml:space="preserve">1 433 300</t>
  </si>
  <si>
    <t xml:space="preserve">Investments in affiliates and other long-term investments</t>
  </si>
  <si>
    <t xml:space="preserve">29 877 500</t>
  </si>
  <si>
    <t xml:space="preserve">30 292 869</t>
  </si>
  <si>
    <t xml:space="preserve">. Investments in affiliates companies</t>
  </si>
  <si>
    <t xml:space="preserve">18 806 452</t>
  </si>
  <si>
    <t xml:space="preserve">19 122 047</t>
  </si>
  <si>
    <t xml:space="preserve">. Other and similar investments</t>
  </si>
  <si>
    <t xml:space="preserve">11 071 048</t>
  </si>
  <si>
    <t xml:space="preserve">11 170 822</t>
  </si>
  <si>
    <t xml:space="preserve">. Moudaraba and mourabaha securities</t>
  </si>
  <si>
    <t xml:space="preserve">Subordinated loans</t>
  </si>
  <si>
    <t xml:space="preserve">94 424</t>
  </si>
  <si>
    <t xml:space="preserve">Investment deposits given</t>
  </si>
  <si>
    <t xml:space="preserve">Leased and rented assets</t>
  </si>
  <si>
    <t xml:space="preserve">552 609</t>
  </si>
  <si>
    <t xml:space="preserve">688 654</t>
  </si>
  <si>
    <t xml:space="preserve">Fixed assets given in Ijara</t>
  </si>
  <si>
    <t xml:space="preserve">3 113 548</t>
  </si>
  <si>
    <t xml:space="preserve">3 108 284</t>
  </si>
  <si>
    <t xml:space="preserve">Property, plant and equipement</t>
  </si>
  <si>
    <t xml:space="preserve">3 667 423</t>
  </si>
  <si>
    <t xml:space="preserve">2 679 389</t>
  </si>
  <si>
    <t xml:space="preserve">Total Assets</t>
  </si>
  <si>
    <t xml:space="preserve">484 306 368</t>
  </si>
  <si>
    <t xml:space="preserve">482 129 974</t>
  </si>
  <si>
    <t xml:space="preserve">Amounts owing to central banks, the treasury and post office accounts</t>
  </si>
  <si>
    <t xml:space="preserve">Amounts owing to credit institutions and similar establishments</t>
  </si>
  <si>
    <t xml:space="preserve">41 837 234</t>
  </si>
  <si>
    <t xml:space="preserve">52 060 161</t>
  </si>
  <si>
    <t xml:space="preserve">9 758 416</t>
  </si>
  <si>
    <t xml:space="preserve">4 434 671</t>
  </si>
  <si>
    <t xml:space="preserve">32 078 818</t>
  </si>
  <si>
    <t xml:space="preserve">47 625 490</t>
  </si>
  <si>
    <t xml:space="preserve">Customer deposits</t>
  </si>
  <si>
    <t xml:space="preserve">343 000 572</t>
  </si>
  <si>
    <t xml:space="preserve">334 753 563</t>
  </si>
  <si>
    <t xml:space="preserve">. Current accounts in credit</t>
  </si>
  <si>
    <t xml:space="preserve">266 028 821</t>
  </si>
  <si>
    <t xml:space="preserve">253 618 212</t>
  </si>
  <si>
    <t xml:space="preserve">. Savings accounts</t>
  </si>
  <si>
    <t xml:space="preserve">33 084 179</t>
  </si>
  <si>
    <t xml:space="preserve">32 585 873</t>
  </si>
  <si>
    <t xml:space="preserve">. Term deposits</t>
  </si>
  <si>
    <t xml:space="preserve">28 546 774</t>
  </si>
  <si>
    <t xml:space="preserve">32 597 822</t>
  </si>
  <si>
    <t xml:space="preserve">. Other accounts in credit</t>
  </si>
  <si>
    <t xml:space="preserve">15 340 798</t>
  </si>
  <si>
    <t xml:space="preserve">15 951 656</t>
  </si>
  <si>
    <t xml:space="preserve">Debts to customers on participatory financing</t>
  </si>
  <si>
    <t xml:space="preserve">Debt securities issued</t>
  </si>
  <si>
    <t xml:space="preserve">5 951 345</t>
  </si>
  <si>
    <t xml:space="preserve">7 466 699</t>
  </si>
  <si>
    <t xml:space="preserve">. Negociable debt securities</t>
  </si>
  <si>
    <t xml:space="preserve">. Bonds</t>
  </si>
  <si>
    <t xml:space="preserve">. Other debt securities issued</t>
  </si>
  <si>
    <t xml:space="preserve">Other liabilities</t>
  </si>
  <si>
    <t xml:space="preserve">17 456 394</t>
  </si>
  <si>
    <t xml:space="preserve">13 460 226</t>
  </si>
  <si>
    <t xml:space="preserve">General provisions</t>
  </si>
  <si>
    <t xml:space="preserve">5 962 966</t>
  </si>
  <si>
    <t xml:space="preserve">5 660 666</t>
  </si>
  <si>
    <t xml:space="preserve">Regulated provisions</t>
  </si>
  <si>
    <t xml:space="preserve">77 813</t>
  </si>
  <si>
    <t xml:space="preserve">93 375</t>
  </si>
  <si>
    <t xml:space="preserve">Subsidies, public funds and special guarantee funds</t>
  </si>
  <si>
    <t xml:space="preserve">Subordinated debt</t>
  </si>
  <si>
    <t xml:space="preserve">16 124 099</t>
  </si>
  <si>
    <t xml:space="preserve">15 848 628</t>
  </si>
  <si>
    <t xml:space="preserve">Investment deposits received</t>
  </si>
  <si>
    <t xml:space="preserve">Revaluation reserve</t>
  </si>
  <si>
    <t xml:space="preserve">Reserves and premiums related to share capital</t>
  </si>
  <si>
    <t xml:space="preserve">38 968 811</t>
  </si>
  <si>
    <t xml:space="preserve">36 510 807</t>
  </si>
  <si>
    <t xml:space="preserve">Share capital</t>
  </si>
  <si>
    <t xml:space="preserve">2 151 408</t>
  </si>
  <si>
    <t xml:space="preserve">Shareholders, unpaid share capital (-)</t>
  </si>
  <si>
    <t xml:space="preserve">Retained earnings (+/-)</t>
  </si>
  <si>
    <t xml:space="preserve">7 587 226</t>
  </si>
  <si>
    <t xml:space="preserve">Net income to be allocated (+/-)</t>
  </si>
  <si>
    <t xml:space="preserve">Net income for the financial year (+/-)</t>
  </si>
  <si>
    <t xml:space="preserve">5 188 079</t>
  </si>
  <si>
    <t xml:space="preserve">6 536 794</t>
  </si>
  <si>
    <t xml:space="preserve">Total liabilities</t>
  </si>
  <si>
    <t xml:space="preserve">RESULTS ANALYSIS</t>
  </si>
  <si>
    <t xml:space="preserve">7 644 294</t>
  </si>
  <si>
    <t xml:space="preserve">7 298 200</t>
  </si>
  <si>
    <t xml:space="preserve">1 882 546</t>
  </si>
  <si>
    <t xml:space="preserve">2 125 331</t>
  </si>
  <si>
    <t xml:space="preserve">5 761 748</t>
  </si>
  <si>
    <t xml:space="preserve">5 172 869</t>
  </si>
  <si>
    <t xml:space="preserve">PARTICIPATORY FINANCING MARGIN</t>
  </si>
  <si>
    <t xml:space="preserve">108 382</t>
  </si>
  <si>
    <t xml:space="preserve">72 120</t>
  </si>
  <si>
    <t xml:space="preserve">122 693</t>
  </si>
  <si>
    <t xml:space="preserve">75 041</t>
  </si>
  <si>
    <t xml:space="preserve">NET INCOME FROM LEASING ACTIVITIES</t>
  </si>
  <si>
    <t xml:space="preserve">-14 311</t>
  </si>
  <si>
    <t xml:space="preserve">-2 921</t>
  </si>
  <si>
    <t xml:space="preserve">NET INCOME FROM IJARA ACTIVITIES</t>
  </si>
  <si>
    <t xml:space="preserve">1 464 149</t>
  </si>
  <si>
    <t xml:space="preserve">1 295 720</t>
  </si>
  <si>
    <t xml:space="preserve">1 036</t>
  </si>
  <si>
    <t xml:space="preserve">NET FEE INCOME</t>
  </si>
  <si>
    <t xml:space="preserve">1 463 113</t>
  </si>
  <si>
    <t xml:space="preserve">1 294 803</t>
  </si>
  <si>
    <t xml:space="preserve">1 742 564</t>
  </si>
  <si>
    <t xml:space="preserve">1 654 792</t>
  </si>
  <si>
    <t xml:space="preserve">-4 748</t>
  </si>
  <si>
    <t xml:space="preserve">373 849</t>
  </si>
  <si>
    <t xml:space="preserve">885 528</t>
  </si>
  <si>
    <t xml:space="preserve">454 312</t>
  </si>
  <si>
    <t xml:space="preserve">-109 878</t>
  </si>
  <si>
    <t xml:space="preserve">INCOME FROM MARKET ACTIVITIES</t>
  </si>
  <si>
    <t xml:space="preserve">2 565 977</t>
  </si>
  <si>
    <t xml:space="preserve">2 430 618</t>
  </si>
  <si>
    <t xml:space="preserve">2 442 319</t>
  </si>
  <si>
    <t xml:space="preserve">1 691 185</t>
  </si>
  <si>
    <t xml:space="preserve">998 295</t>
  </si>
  <si>
    <t xml:space="preserve">869 963</t>
  </si>
  <si>
    <t xml:space="preserve">11 220 551</t>
  </si>
  <si>
    <t xml:space="preserve">9 716 589</t>
  </si>
  <si>
    <t xml:space="preserve">-446 247</t>
  </si>
  <si>
    <t xml:space="preserve">-232 810</t>
  </si>
  <si>
    <t xml:space="preserve">42 953</t>
  </si>
  <si>
    <t xml:space="preserve">29 120</t>
  </si>
  <si>
    <t xml:space="preserve">general operating expenses</t>
  </si>
  <si>
    <t xml:space="preserve">2 776 621</t>
  </si>
  <si>
    <t xml:space="preserve">2 600 904</t>
  </si>
  <si>
    <t xml:space="preserve">8 040 637</t>
  </si>
  <si>
    <t xml:space="preserve">6 911 996</t>
  </si>
  <si>
    <t xml:space="preserve">-430 609</t>
  </si>
  <si>
    <t xml:space="preserve">-533 719</t>
  </si>
  <si>
    <t xml:space="preserve">-200 575</t>
  </si>
  <si>
    <t xml:space="preserve">-287 099</t>
  </si>
  <si>
    <t xml:space="preserve">7 409 452</t>
  </si>
  <si>
    <t xml:space="preserve">6 091 177</t>
  </si>
  <si>
    <t xml:space="preserve">NON OPERATING INCOME</t>
  </si>
  <si>
    <t xml:space="preserve">-195 005</t>
  </si>
  <si>
    <t xml:space="preserve">-197 408</t>
  </si>
  <si>
    <t xml:space="preserve">2 026 368</t>
  </si>
  <si>
    <t xml:space="preserve">1 749 058</t>
  </si>
  <si>
    <t xml:space="preserve">NET INCOME FOR THE FINANCIAL YEAR</t>
  </si>
  <si>
    <t xml:space="preserve">4 144 710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</si>
</sst>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3" activeCellId="0" sqref="D73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7.11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1" t="n">
        <v>45838</v>
      </c>
    </row>
    <row r="3" customFormat="false" ht="14.25" hidden="false" customHeight="false" outlineLevel="0" collapsed="false">
      <c r="A3" s="1" t="n">
        <v>45657</v>
      </c>
    </row>
    <row r="4" customFormat="false" ht="14.25" hidden="false" customHeight="false" outlineLevel="0" collapsed="false">
      <c r="A4" s="0" t="s">
        <v>1</v>
      </c>
    </row>
    <row r="5" customFormat="false" ht="14.25" hidden="false" customHeight="false" outlineLevel="0" collapsed="false">
      <c r="A5" s="0" t="s">
        <v>2</v>
      </c>
    </row>
    <row r="6" customFormat="false" ht="14.25" hidden="false" customHeight="false" outlineLevel="0" collapsed="false">
      <c r="A6" s="0" t="s">
        <v>3</v>
      </c>
    </row>
    <row r="7" customFormat="false" ht="14.25" hidden="false" customHeight="false" outlineLevel="0" collapsed="false">
      <c r="A7" s="0" t="s">
        <v>4</v>
      </c>
    </row>
    <row r="8" customFormat="false" ht="14.25" hidden="false" customHeight="false" outlineLevel="0" collapsed="false">
      <c r="A8" s="0" t="s">
        <v>5</v>
      </c>
    </row>
    <row r="9" customFormat="false" ht="14.25" hidden="false" customHeight="false" outlineLevel="0" collapsed="false">
      <c r="A9" s="0" t="s">
        <v>6</v>
      </c>
    </row>
    <row r="10" customFormat="false" ht="14.25" hidden="false" customHeight="false" outlineLevel="0" collapsed="false">
      <c r="A10" s="0" t="s">
        <v>7</v>
      </c>
    </row>
    <row r="11" customFormat="false" ht="14.25" hidden="false" customHeight="false" outlineLevel="0" collapsed="false">
      <c r="A11" s="0" t="s">
        <v>8</v>
      </c>
    </row>
    <row r="12" customFormat="false" ht="14.25" hidden="false" customHeight="false" outlineLevel="0" collapsed="false">
      <c r="A12" s="0" t="s">
        <v>9</v>
      </c>
    </row>
    <row r="13" customFormat="false" ht="14.25" hidden="false" customHeight="false" outlineLevel="0" collapsed="false">
      <c r="A13" s="0" t="s">
        <v>10</v>
      </c>
    </row>
    <row r="14" customFormat="false" ht="14.25" hidden="false" customHeight="false" outlineLevel="0" collapsed="false">
      <c r="A14" s="0" t="s">
        <v>11</v>
      </c>
    </row>
    <row r="15" customFormat="false" ht="14.25" hidden="false" customHeight="false" outlineLevel="0" collapsed="false">
      <c r="A15" s="0" t="s">
        <v>12</v>
      </c>
    </row>
    <row r="16" customFormat="false" ht="14.25" hidden="false" customHeight="false" outlineLevel="0" collapsed="false">
      <c r="A16" s="0" t="s">
        <v>13</v>
      </c>
    </row>
    <row r="17" customFormat="false" ht="14.25" hidden="false" customHeight="false" outlineLevel="0" collapsed="false">
      <c r="A17" s="0" t="s">
        <v>14</v>
      </c>
    </row>
    <row r="18" customFormat="false" ht="14.25" hidden="false" customHeight="false" outlineLevel="0" collapsed="false">
      <c r="A18" s="0" t="s">
        <v>15</v>
      </c>
    </row>
    <row r="19" customFormat="false" ht="14.25" hidden="false" customHeight="false" outlineLevel="0" collapsed="false">
      <c r="A19" s="0" t="s">
        <v>16</v>
      </c>
    </row>
    <row r="20" customFormat="false" ht="14.25" hidden="false" customHeight="false" outlineLevel="0" collapsed="false">
      <c r="A20" s="0" t="s">
        <v>17</v>
      </c>
    </row>
    <row r="21" customFormat="false" ht="14.25" hidden="false" customHeight="false" outlineLevel="0" collapsed="false">
      <c r="A21" s="0" t="s">
        <v>18</v>
      </c>
    </row>
    <row r="22" customFormat="false" ht="14.25" hidden="false" customHeight="false" outlineLevel="0" collapsed="false">
      <c r="A22" s="0" t="s">
        <v>19</v>
      </c>
    </row>
    <row r="23" customFormat="false" ht="14.25" hidden="false" customHeight="false" outlineLevel="0" collapsed="false">
      <c r="A23" s="0" t="s">
        <v>20</v>
      </c>
    </row>
    <row r="24" customFormat="false" ht="14.25" hidden="false" customHeight="false" outlineLevel="0" collapsed="false">
      <c r="A24" s="0" t="s">
        <v>21</v>
      </c>
    </row>
    <row r="25" customFormat="false" ht="14.25" hidden="false" customHeight="false" outlineLevel="0" collapsed="false">
      <c r="A25" s="0" t="s">
        <v>22</v>
      </c>
    </row>
    <row r="26" customFormat="false" ht="14.25" hidden="false" customHeight="false" outlineLevel="0" collapsed="false">
      <c r="A26" s="0" t="s">
        <v>23</v>
      </c>
    </row>
    <row r="27" customFormat="false" ht="14.25" hidden="false" customHeight="false" outlineLevel="0" collapsed="false">
      <c r="A27" s="0" t="s">
        <v>24</v>
      </c>
    </row>
    <row r="28" customFormat="false" ht="14.25" hidden="false" customHeight="false" outlineLevel="0" collapsed="false">
      <c r="A28" s="0" t="s">
        <v>25</v>
      </c>
    </row>
    <row r="29" customFormat="false" ht="14.25" hidden="false" customHeight="false" outlineLevel="0" collapsed="false">
      <c r="A29" s="0" t="s">
        <v>26</v>
      </c>
    </row>
    <row r="30" customFormat="false" ht="14.25" hidden="false" customHeight="false" outlineLevel="0" collapsed="false">
      <c r="A30" s="0" t="s">
        <v>27</v>
      </c>
    </row>
    <row r="31" customFormat="false" ht="14.25" hidden="false" customHeight="false" outlineLevel="0" collapsed="false">
      <c r="A31" s="0" t="s">
        <v>28</v>
      </c>
    </row>
    <row r="32" customFormat="false" ht="14.25" hidden="false" customHeight="false" outlineLevel="0" collapsed="false">
      <c r="A32" s="0" t="s">
        <v>29</v>
      </c>
    </row>
    <row r="33" customFormat="false" ht="14.25" hidden="false" customHeight="false" outlineLevel="0" collapsed="false">
      <c r="A33" s="0" t="s">
        <v>30</v>
      </c>
    </row>
    <row r="34" customFormat="false" ht="14.25" hidden="false" customHeight="false" outlineLevel="0" collapsed="false">
      <c r="A34" s="0" t="s">
        <v>31</v>
      </c>
    </row>
    <row r="35" customFormat="false" ht="14.25" hidden="false" customHeight="false" outlineLevel="0" collapsed="false">
      <c r="A35" s="0" t="s">
        <v>32</v>
      </c>
    </row>
    <row r="36" customFormat="false" ht="14.25" hidden="false" customHeight="false" outlineLevel="0" collapsed="false">
      <c r="A36" s="0" t="s">
        <v>33</v>
      </c>
    </row>
    <row r="37" customFormat="false" ht="14.25" hidden="false" customHeight="false" outlineLevel="0" collapsed="false">
      <c r="A37" s="0" t="s">
        <v>34</v>
      </c>
    </row>
    <row r="38" customFormat="false" ht="14.25" hidden="false" customHeight="false" outlineLevel="0" collapsed="false">
      <c r="A38" s="0" t="s">
        <v>35</v>
      </c>
    </row>
    <row r="39" customFormat="false" ht="14.25" hidden="false" customHeight="false" outlineLevel="0" collapsed="false">
      <c r="A39" s="0" t="s">
        <v>36</v>
      </c>
    </row>
    <row r="40" customFormat="false" ht="14.25" hidden="false" customHeight="false" outlineLevel="0" collapsed="false">
      <c r="A40" s="0" t="s">
        <v>37</v>
      </c>
    </row>
    <row r="41" customFormat="false" ht="14.25" hidden="false" customHeight="false" outlineLevel="0" collapsed="false">
      <c r="A41" s="0" t="s">
        <v>38</v>
      </c>
    </row>
    <row r="42" customFormat="false" ht="14.25" hidden="false" customHeight="false" outlineLevel="0" collapsed="false">
      <c r="A42" s="0" t="s">
        <v>39</v>
      </c>
    </row>
    <row r="43" customFormat="false" ht="14.25" hidden="false" customHeight="false" outlineLevel="0" collapsed="false">
      <c r="A43" s="0" t="s">
        <v>40</v>
      </c>
    </row>
    <row r="44" customFormat="false" ht="14.25" hidden="false" customHeight="false" outlineLevel="0" collapsed="false">
      <c r="A44" s="0" t="s">
        <v>41</v>
      </c>
    </row>
    <row r="45" customFormat="false" ht="14.25" hidden="false" customHeight="false" outlineLevel="0" collapsed="false">
      <c r="A45" s="0" t="s">
        <v>42</v>
      </c>
    </row>
    <row r="46" customFormat="false" ht="14.25" hidden="false" customHeight="false" outlineLevel="0" collapsed="false">
      <c r="A46" s="0" t="s">
        <v>43</v>
      </c>
    </row>
    <row r="47" customFormat="false" ht="14.25" hidden="false" customHeight="false" outlineLevel="0" collapsed="false">
      <c r="A47" s="0" t="s">
        <v>44</v>
      </c>
    </row>
    <row r="48" customFormat="false" ht="14.25" hidden="false" customHeight="false" outlineLevel="0" collapsed="false">
      <c r="A48" s="0" t="s">
        <v>45</v>
      </c>
    </row>
    <row r="49" customFormat="false" ht="14.25" hidden="false" customHeight="false" outlineLevel="0" collapsed="false">
      <c r="A49" s="0" t="s">
        <v>46</v>
      </c>
    </row>
    <row r="50" customFormat="false" ht="14.25" hidden="false" customHeight="false" outlineLevel="0" collapsed="false">
      <c r="A50" s="0" t="s">
        <v>47</v>
      </c>
    </row>
    <row r="51" customFormat="false" ht="14.25" hidden="false" customHeight="false" outlineLevel="0" collapsed="false">
      <c r="A51" s="0" t="s">
        <v>48</v>
      </c>
    </row>
    <row r="52" customFormat="false" ht="14.25" hidden="false" customHeight="false" outlineLevel="0" collapsed="false">
      <c r="A52" s="0" t="s">
        <v>49</v>
      </c>
    </row>
    <row r="53" customFormat="false" ht="14.25" hidden="false" customHeight="false" outlineLevel="0" collapsed="false">
      <c r="A53" s="0" t="s">
        <v>50</v>
      </c>
    </row>
    <row r="54" customFormat="false" ht="14.25" hidden="false" customHeight="false" outlineLevel="0" collapsed="false">
      <c r="A54" s="0" t="s">
        <v>51</v>
      </c>
    </row>
    <row r="55" customFormat="false" ht="14.25" hidden="false" customHeight="false" outlineLevel="0" collapsed="false">
      <c r="A55" s="0" t="s">
        <v>52</v>
      </c>
    </row>
    <row r="56" customFormat="false" ht="14.25" hidden="false" customHeight="false" outlineLevel="0" collapsed="false">
      <c r="A56" s="0" t="s">
        <v>53</v>
      </c>
    </row>
    <row r="57" customFormat="false" ht="14.25" hidden="false" customHeight="false" outlineLevel="0" collapsed="false">
      <c r="A57" s="0" t="s">
        <v>54</v>
      </c>
    </row>
    <row r="58" customFormat="false" ht="14.25" hidden="false" customHeight="false" outlineLevel="0" collapsed="false">
      <c r="A58" s="0" t="s">
        <v>55</v>
      </c>
    </row>
    <row r="59" customFormat="false" ht="14.25" hidden="false" customHeight="false" outlineLevel="0" collapsed="false">
      <c r="A59" s="0" t="s">
        <v>56</v>
      </c>
    </row>
    <row r="60" customFormat="false" ht="14.25" hidden="false" customHeight="false" outlineLevel="0" collapsed="false">
      <c r="A60" s="0" t="s">
        <v>57</v>
      </c>
    </row>
    <row r="61" customFormat="false" ht="14.25" hidden="false" customHeight="false" outlineLevel="0" collapsed="false">
      <c r="A61" s="0" t="s">
        <v>58</v>
      </c>
    </row>
    <row r="62" customFormat="false" ht="14.25" hidden="false" customHeight="false" outlineLevel="0" collapsed="false">
      <c r="A62" s="0" t="s">
        <v>59</v>
      </c>
    </row>
    <row r="63" customFormat="false" ht="14.25" hidden="false" customHeight="false" outlineLevel="0" collapsed="false">
      <c r="A63" s="0" t="s">
        <v>60</v>
      </c>
    </row>
    <row r="64" customFormat="false" ht="14.25" hidden="false" customHeight="false" outlineLevel="0" collapsed="false">
      <c r="A64" s="0" t="s">
        <v>61</v>
      </c>
    </row>
    <row r="65" customFormat="false" ht="14.25" hidden="false" customHeight="false" outlineLevel="0" collapsed="false">
      <c r="A65" s="0" t="s">
        <v>62</v>
      </c>
    </row>
    <row r="66" customFormat="false" ht="14.25" hidden="false" customHeight="false" outlineLevel="0" collapsed="false">
      <c r="A66" s="0" t="s">
        <v>63</v>
      </c>
    </row>
    <row r="67" customFormat="false" ht="14.25" hidden="false" customHeight="false" outlineLevel="0" collapsed="false">
      <c r="A67" s="0" t="s">
        <v>64</v>
      </c>
    </row>
    <row r="68" customFormat="false" ht="14.25" hidden="false" customHeight="false" outlineLevel="0" collapsed="false">
      <c r="A68" s="0" t="s">
        <v>65</v>
      </c>
    </row>
    <row r="69" customFormat="false" ht="14.25" hidden="false" customHeight="false" outlineLevel="0" collapsed="false">
      <c r="A69" s="0" t="s">
        <v>66</v>
      </c>
    </row>
    <row r="70" customFormat="false" ht="14.25" hidden="false" customHeight="false" outlineLevel="0" collapsed="false">
      <c r="A70" s="0" t="s">
        <v>67</v>
      </c>
    </row>
    <row r="71" customFormat="false" ht="14.25" hidden="false" customHeight="false" outlineLevel="0" collapsed="false">
      <c r="A71" s="0" t="s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8" activeCellId="0" sqref="B38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6.33"/>
  </cols>
  <sheetData>
    <row r="1" customFormat="false" ht="14.25" hidden="false" customHeight="false" outlineLevel="0" collapsed="false">
      <c r="A1" s="0" t="s">
        <v>69</v>
      </c>
    </row>
    <row r="2" customFormat="false" ht="14.25" hidden="false" customHeight="false" outlineLevel="0" collapsed="false">
      <c r="A2" s="1" t="n">
        <v>45838</v>
      </c>
    </row>
    <row r="3" customFormat="false" ht="14.25" hidden="false" customHeight="false" outlineLevel="0" collapsed="false">
      <c r="A3" s="1" t="n">
        <v>45657</v>
      </c>
    </row>
    <row r="4" customFormat="false" ht="14.25" hidden="false" customHeight="false" outlineLevel="0" collapsed="false">
      <c r="A4" s="0" t="s">
        <v>70</v>
      </c>
    </row>
    <row r="5" customFormat="false" ht="14.25" hidden="false" customHeight="false" outlineLevel="0" collapsed="false">
      <c r="A5" s="0" t="s">
        <v>71</v>
      </c>
    </row>
    <row r="6" customFormat="false" ht="14.25" hidden="false" customHeight="false" outlineLevel="0" collapsed="false">
      <c r="A6" s="0" t="n">
        <v>92</v>
      </c>
    </row>
    <row r="7" customFormat="false" ht="14.25" hidden="false" customHeight="false" outlineLevel="0" collapsed="false">
      <c r="A7" s="0" t="s">
        <v>72</v>
      </c>
    </row>
    <row r="8" customFormat="false" ht="14.25" hidden="false" customHeight="false" outlineLevel="0" collapsed="false">
      <c r="A8" s="0" t="s">
        <v>73</v>
      </c>
    </row>
    <row r="9" customFormat="false" ht="14.25" hidden="false" customHeight="false" outlineLevel="0" collapsed="false">
      <c r="A9" s="0" t="s">
        <v>74</v>
      </c>
    </row>
    <row r="10" customFormat="false" ht="14.25" hidden="false" customHeight="false" outlineLevel="0" collapsed="false">
      <c r="A10" s="0" t="s">
        <v>75</v>
      </c>
    </row>
    <row r="11" customFormat="false" ht="14.25" hidden="false" customHeight="false" outlineLevel="0" collapsed="false">
      <c r="A11" s="0" t="s">
        <v>73</v>
      </c>
    </row>
    <row r="12" customFormat="false" ht="14.25" hidden="false" customHeight="false" outlineLevel="0" collapsed="false">
      <c r="A12" s="0" t="s">
        <v>74</v>
      </c>
    </row>
    <row r="13" customFormat="false" ht="14.25" hidden="false" customHeight="false" outlineLevel="0" collapsed="false">
      <c r="A13" s="0" t="s">
        <v>76</v>
      </c>
    </row>
    <row r="14" customFormat="false" ht="14.25" hidden="false" customHeight="false" outlineLevel="0" collapsed="false">
      <c r="A14" s="0" t="s">
        <v>13</v>
      </c>
    </row>
    <row r="15" customFormat="false" ht="14.25" hidden="false" customHeight="false" outlineLevel="0" collapsed="false">
      <c r="A15" s="0" t="s">
        <v>77</v>
      </c>
    </row>
    <row r="16" customFormat="false" ht="14.25" hidden="false" customHeight="false" outlineLevel="0" collapsed="false">
      <c r="A16" s="0" t="s">
        <v>78</v>
      </c>
    </row>
    <row r="17" customFormat="false" ht="14.25" hidden="false" customHeight="false" outlineLevel="0" collapsed="false">
      <c r="A17" s="0" t="s">
        <v>79</v>
      </c>
    </row>
    <row r="18" customFormat="false" ht="14.25" hidden="false" customHeight="false" outlineLevel="0" collapsed="false">
      <c r="A18" s="0" t="s">
        <v>80</v>
      </c>
    </row>
    <row r="19" customFormat="false" ht="14.25" hidden="false" customHeight="false" outlineLevel="0" collapsed="false">
      <c r="A19" s="0" t="s">
        <v>81</v>
      </c>
    </row>
    <row r="20" customFormat="false" ht="14.25" hidden="false" customHeight="false" outlineLevel="0" collapsed="false">
      <c r="A20" s="0" t="s">
        <v>82</v>
      </c>
    </row>
    <row r="21" customFormat="false" ht="14.25" hidden="false" customHeight="false" outlineLevel="0" collapsed="false">
      <c r="A21" s="0" t="s">
        <v>83</v>
      </c>
    </row>
    <row r="22" customFormat="false" ht="14.25" hidden="false" customHeight="false" outlineLevel="0" collapsed="false">
      <c r="A22" s="0" t="s">
        <v>84</v>
      </c>
    </row>
    <row r="23" customFormat="false" ht="14.25" hidden="false" customHeight="false" outlineLevel="0" collapsed="false">
      <c r="A23" s="0" t="s">
        <v>85</v>
      </c>
    </row>
    <row r="24" customFormat="false" ht="14.25" hidden="false" customHeight="false" outlineLevel="0" collapsed="false">
      <c r="A24" s="0" t="s">
        <v>32</v>
      </c>
    </row>
    <row r="25" customFormat="false" ht="14.25" hidden="false" customHeight="false" outlineLevel="0" collapsed="false">
      <c r="A25" s="0" t="s">
        <v>86</v>
      </c>
    </row>
    <row r="26" customFormat="false" ht="14.25" hidden="false" customHeight="false" outlineLevel="0" collapsed="false">
      <c r="A26" s="0" t="s">
        <v>87</v>
      </c>
    </row>
    <row r="27" customFormat="false" ht="14.25" hidden="false" customHeight="false" outlineLevel="0" collapsed="false">
      <c r="A27" s="0" t="s">
        <v>88</v>
      </c>
    </row>
    <row r="28" customFormat="false" ht="14.25" hidden="false" customHeight="false" outlineLevel="0" collapsed="false">
      <c r="A28" s="0" t="s">
        <v>89</v>
      </c>
    </row>
    <row r="29" customFormat="false" ht="14.25" hidden="false" customHeight="false" outlineLevel="0" collapsed="false">
      <c r="A29" s="0" t="s">
        <v>90</v>
      </c>
    </row>
    <row r="30" customFormat="false" ht="14.25" hidden="false" customHeight="false" outlineLevel="0" collapsed="false">
      <c r="A30" s="0" t="s">
        <v>91</v>
      </c>
    </row>
    <row r="31" customFormat="false" ht="14.25" hidden="false" customHeight="false" outlineLevel="0" collapsed="false">
      <c r="A31" s="0" t="s">
        <v>92</v>
      </c>
    </row>
    <row r="32" customFormat="false" ht="14.25" hidden="false" customHeight="false" outlineLevel="0" collapsed="false">
      <c r="A32" s="0" t="s">
        <v>93</v>
      </c>
    </row>
    <row r="33" customFormat="false" ht="14.25" hidden="false" customHeight="false" outlineLevel="0" collapsed="false">
      <c r="A33" s="0" t="s">
        <v>94</v>
      </c>
    </row>
    <row r="34" customFormat="false" ht="14.25" hidden="false" customHeight="false" outlineLevel="0" collapsed="false">
      <c r="A34" s="0" t="s">
        <v>95</v>
      </c>
    </row>
    <row r="35" customFormat="false" ht="14.25" hidden="false" customHeight="false" outlineLevel="0" collapsed="false">
      <c r="A35" s="0" t="s">
        <v>96</v>
      </c>
    </row>
    <row r="36" customFormat="false" ht="14.25" hidden="false" customHeight="false" outlineLevel="0" collapsed="false">
      <c r="A36" s="0" t="s">
        <v>97</v>
      </c>
    </row>
    <row r="37" customFormat="false" ht="14.25" hidden="false" customHeight="false" outlineLevel="0" collapsed="false">
      <c r="A37" s="0" t="s">
        <v>98</v>
      </c>
    </row>
    <row r="38" customFormat="false" ht="14.25" hidden="false" customHeight="false" outlineLevel="0" collapsed="false">
      <c r="A38" s="0" t="s">
        <v>99</v>
      </c>
    </row>
    <row r="39" customFormat="false" ht="14.25" hidden="false" customHeight="false" outlineLevel="0" collapsed="false">
      <c r="A39" s="0" t="s">
        <v>100</v>
      </c>
    </row>
    <row r="40" customFormat="false" ht="14.25" hidden="false" customHeight="false" outlineLevel="0" collapsed="false">
      <c r="A40" s="0" t="s">
        <v>101</v>
      </c>
    </row>
    <row r="41" customFormat="false" ht="14.25" hidden="false" customHeight="false" outlineLevel="0" collapsed="false">
      <c r="A41" s="0" t="s">
        <v>102</v>
      </c>
    </row>
    <row r="42" customFormat="false" ht="14.25" hidden="false" customHeight="false" outlineLevel="0" collapsed="false">
      <c r="A42" s="0" t="s">
        <v>103</v>
      </c>
    </row>
    <row r="43" customFormat="false" ht="14.25" hidden="false" customHeight="false" outlineLevel="0" collapsed="false">
      <c r="A43" s="0" t="s">
        <v>104</v>
      </c>
    </row>
    <row r="44" customFormat="false" ht="14.25" hidden="false" customHeight="false" outlineLevel="0" collapsed="false">
      <c r="A44" s="0" t="s">
        <v>105</v>
      </c>
    </row>
    <row r="45" customFormat="false" ht="14.25" hidden="false" customHeight="false" outlineLevel="0" collapsed="false">
      <c r="A45" s="0" t="s">
        <v>106</v>
      </c>
    </row>
    <row r="46" customFormat="false" ht="14.25" hidden="false" customHeight="false" outlineLevel="0" collapsed="false">
      <c r="A46" s="0" t="s">
        <v>107</v>
      </c>
    </row>
    <row r="47" customFormat="false" ht="14.25" hidden="false" customHeight="false" outlineLevel="0" collapsed="false">
      <c r="A47" s="0" t="s">
        <v>108</v>
      </c>
    </row>
    <row r="48" customFormat="false" ht="14.25" hidden="false" customHeight="false" outlineLevel="0" collapsed="false">
      <c r="A48" s="0" t="s">
        <v>109</v>
      </c>
    </row>
    <row r="49" customFormat="false" ht="14.25" hidden="false" customHeight="false" outlineLevel="0" collapsed="false">
      <c r="A49" s="0" t="s">
        <v>110</v>
      </c>
    </row>
    <row r="50" customFormat="false" ht="14.25" hidden="false" customHeight="false" outlineLevel="0" collapsed="false">
      <c r="A50" s="0" t="s">
        <v>111</v>
      </c>
    </row>
    <row r="51" customFormat="false" ht="14.25" hidden="false" customHeight="false" outlineLevel="0" collapsed="false">
      <c r="A51" s="0" t="s">
        <v>112</v>
      </c>
    </row>
    <row r="52" customFormat="false" ht="14.25" hidden="false" customHeight="false" outlineLevel="0" collapsed="false">
      <c r="A52" s="0" t="s">
        <v>113</v>
      </c>
    </row>
    <row r="53" customFormat="false" ht="14.25" hidden="false" customHeight="false" outlineLevel="0" collapsed="false">
      <c r="A53" s="0" t="s">
        <v>114</v>
      </c>
    </row>
    <row r="54" customFormat="false" ht="14.25" hidden="false" customHeight="false" outlineLevel="0" collapsed="false">
      <c r="A54" s="0" t="s">
        <v>115</v>
      </c>
    </row>
    <row r="55" customFormat="false" ht="14.25" hidden="false" customHeight="false" outlineLevel="0" collapsed="false">
      <c r="A55" s="0" t="s">
        <v>116</v>
      </c>
    </row>
    <row r="56" customFormat="false" ht="14.25" hidden="false" customHeight="false" outlineLevel="0" collapsed="false">
      <c r="A56" s="0" t="s">
        <v>117</v>
      </c>
    </row>
    <row r="57" customFormat="false" ht="14.25" hidden="false" customHeight="false" outlineLevel="0" collapsed="false">
      <c r="A57" s="0" t="s">
        <v>118</v>
      </c>
    </row>
    <row r="58" customFormat="false" ht="14.25" hidden="false" customHeight="false" outlineLevel="0" collapsed="false">
      <c r="A58" s="0" t="s">
        <v>119</v>
      </c>
    </row>
    <row r="59" customFormat="false" ht="14.25" hidden="false" customHeight="false" outlineLevel="0" collapsed="false">
      <c r="A59" s="0" t="s">
        <v>120</v>
      </c>
    </row>
    <row r="60" customFormat="false" ht="14.25" hidden="false" customHeight="false" outlineLevel="0" collapsed="false">
      <c r="A60" s="0" t="s">
        <v>121</v>
      </c>
    </row>
    <row r="61" customFormat="false" ht="14.25" hidden="false" customHeight="false" outlineLevel="0" collapsed="false">
      <c r="A61" s="0" t="s">
        <v>122</v>
      </c>
    </row>
    <row r="62" customFormat="false" ht="14.25" hidden="false" customHeight="false" outlineLevel="0" collapsed="false">
      <c r="A62" s="0" t="s">
        <v>123</v>
      </c>
    </row>
    <row r="63" customFormat="false" ht="14.25" hidden="false" customHeight="false" outlineLevel="0" collapsed="false">
      <c r="A63" s="0" t="s">
        <v>124</v>
      </c>
    </row>
    <row r="64" customFormat="false" ht="14.25" hidden="false" customHeight="false" outlineLevel="0" collapsed="false">
      <c r="A64" s="0" t="s">
        <v>125</v>
      </c>
    </row>
    <row r="65" customFormat="false" ht="14.25" hidden="false" customHeight="false" outlineLevel="0" collapsed="false">
      <c r="A65" s="0" t="s">
        <v>117</v>
      </c>
    </row>
    <row r="66" customFormat="false" ht="14.25" hidden="false" customHeight="false" outlineLevel="0" collapsed="false">
      <c r="A66" s="0" t="s">
        <v>126</v>
      </c>
    </row>
    <row r="67" customFormat="false" ht="14.25" hidden="false" customHeight="false" outlineLevel="0" collapsed="false">
      <c r="A67" s="0" t="s">
        <v>127</v>
      </c>
    </row>
    <row r="68" customFormat="false" ht="14.25" hidden="false" customHeight="false" outlineLevel="0" collapsed="false">
      <c r="A68" s="0" t="s">
        <v>120</v>
      </c>
    </row>
    <row r="69" customFormat="false" ht="14.25" hidden="false" customHeight="false" outlineLevel="0" collapsed="false">
      <c r="A69" s="0" t="s">
        <v>128</v>
      </c>
    </row>
    <row r="70" customFormat="false" ht="14.25" hidden="false" customHeight="false" outlineLevel="0" collapsed="false">
      <c r="A70" s="0" t="s">
        <v>129</v>
      </c>
    </row>
    <row r="71" customFormat="false" ht="14.25" hidden="false" customHeight="false" outlineLevel="0" collapsed="false">
      <c r="A71" s="0" t="s">
        <v>130</v>
      </c>
    </row>
    <row r="72" customFormat="false" ht="14.25" hidden="false" customHeight="false" outlineLevel="0" collapsed="false">
      <c r="A72" s="0" t="s">
        <v>131</v>
      </c>
    </row>
    <row r="73" customFormat="false" ht="14.25" hidden="false" customHeight="false" outlineLevel="0" collapsed="false">
      <c r="A73" s="0" t="s">
        <v>132</v>
      </c>
    </row>
    <row r="74" customFormat="false" ht="14.25" hidden="false" customHeight="false" outlineLevel="0" collapsed="false">
      <c r="A74" s="0" t="s">
        <v>117</v>
      </c>
    </row>
    <row r="75" customFormat="false" ht="14.25" hidden="false" customHeight="false" outlineLevel="0" collapsed="false">
      <c r="A75" s="0" t="s">
        <v>133</v>
      </c>
    </row>
    <row r="76" customFormat="false" ht="14.25" hidden="false" customHeight="false" outlineLevel="0" collapsed="false">
      <c r="A76" s="0" t="s">
        <v>134</v>
      </c>
    </row>
    <row r="77" customFormat="false" ht="14.25" hidden="false" customHeight="false" outlineLevel="0" collapsed="false">
      <c r="A77" s="0" t="s">
        <v>120</v>
      </c>
    </row>
    <row r="78" customFormat="false" ht="14.25" hidden="false" customHeight="false" outlineLevel="0" collapsed="false">
      <c r="A78" s="0" t="s">
        <v>135</v>
      </c>
    </row>
    <row r="79" customFormat="false" ht="14.25" hidden="false" customHeight="false" outlineLevel="0" collapsed="false">
      <c r="A79" s="0" t="s">
        <v>136</v>
      </c>
    </row>
    <row r="80" customFormat="false" ht="14.25" hidden="false" customHeight="false" outlineLevel="0" collapsed="false">
      <c r="A80" s="0" t="s">
        <v>137</v>
      </c>
    </row>
    <row r="81" customFormat="false" ht="14.25" hidden="false" customHeight="false" outlineLevel="0" collapsed="false">
      <c r="A81" s="0" t="s">
        <v>67</v>
      </c>
    </row>
    <row r="82" customFormat="false" ht="14.25" hidden="false" customHeight="false" outlineLevel="0" collapsed="false">
      <c r="A82" s="0" t="s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57" activeCellId="0" sqref="A57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115.67"/>
  </cols>
  <sheetData>
    <row r="1" customFormat="false" ht="14.25" hidden="false" customHeight="false" outlineLevel="0" collapsed="false">
      <c r="A1" s="1" t="s">
        <v>138</v>
      </c>
    </row>
    <row r="2" customFormat="false" ht="14.25" hidden="false" customHeight="false" outlineLevel="0" collapsed="false">
      <c r="A2" s="1" t="n">
        <v>45838</v>
      </c>
    </row>
    <row r="3" customFormat="false" ht="14.25" hidden="false" customHeight="false" outlineLevel="0" collapsed="false">
      <c r="A3" s="1" t="n">
        <v>45473</v>
      </c>
    </row>
    <row r="4" customFormat="false" ht="14.25" hidden="false" customHeight="false" outlineLevel="0" collapsed="false">
      <c r="A4" s="0" t="s">
        <v>139</v>
      </c>
    </row>
    <row r="5" customFormat="false" ht="14.25" hidden="false" customHeight="false" outlineLevel="0" collapsed="false">
      <c r="A5" s="0" t="s">
        <v>140</v>
      </c>
    </row>
    <row r="6" customFormat="false" ht="14.25" hidden="false" customHeight="false" outlineLevel="0" collapsed="false">
      <c r="A6" s="0" t="s">
        <v>141</v>
      </c>
    </row>
    <row r="7" customFormat="false" ht="14.25" hidden="false" customHeight="false" outlineLevel="0" collapsed="false">
      <c r="A7" s="0" t="s">
        <v>142</v>
      </c>
    </row>
    <row r="8" customFormat="false" ht="14.25" hidden="false" customHeight="false" outlineLevel="0" collapsed="false">
      <c r="A8" s="0" t="s">
        <v>143</v>
      </c>
    </row>
    <row r="9" customFormat="false" ht="14.25" hidden="false" customHeight="false" outlineLevel="0" collapsed="false">
      <c r="A9" s="0" t="s">
        <v>144</v>
      </c>
    </row>
    <row r="10" customFormat="false" ht="14.25" hidden="false" customHeight="false" outlineLevel="0" collapsed="false">
      <c r="A10" s="0" t="s">
        <v>145</v>
      </c>
    </row>
    <row r="11" customFormat="false" ht="14.25" hidden="false" customHeight="false" outlineLevel="0" collapsed="false">
      <c r="A11" s="0" t="s">
        <v>146</v>
      </c>
    </row>
    <row r="12" customFormat="false" ht="14.25" hidden="false" customHeight="false" outlineLevel="0" collapsed="false">
      <c r="A12" s="0" t="s">
        <v>147</v>
      </c>
    </row>
    <row r="13" customFormat="false" ht="14.25" hidden="false" customHeight="false" outlineLevel="0" collapsed="false">
      <c r="A13" s="0" t="s">
        <v>148</v>
      </c>
    </row>
    <row r="14" customFormat="false" ht="14.25" hidden="false" customHeight="false" outlineLevel="0" collapsed="false">
      <c r="A14" s="0" t="s">
        <v>149</v>
      </c>
    </row>
    <row r="15" customFormat="false" ht="14.25" hidden="false" customHeight="false" outlineLevel="0" collapsed="false">
      <c r="A15" s="0" t="s">
        <v>150</v>
      </c>
    </row>
    <row r="16" customFormat="false" ht="14.25" hidden="false" customHeight="false" outlineLevel="0" collapsed="false">
      <c r="A16" s="0" t="s">
        <v>151</v>
      </c>
    </row>
    <row r="17" customFormat="false" ht="14.25" hidden="false" customHeight="false" outlineLevel="0" collapsed="false">
      <c r="A17" s="0" t="s">
        <v>152</v>
      </c>
    </row>
    <row r="18" customFormat="false" ht="14.25" hidden="false" customHeight="false" outlineLevel="0" collapsed="false">
      <c r="A18" s="0" t="s">
        <v>153</v>
      </c>
    </row>
    <row r="19" customFormat="false" ht="14.25" hidden="false" customHeight="false" outlineLevel="0" collapsed="false">
      <c r="A19" s="0" t="s">
        <v>154</v>
      </c>
    </row>
    <row r="20" customFormat="false" ht="14.25" hidden="false" customHeight="false" outlineLevel="0" collapsed="false">
      <c r="A20" s="0" t="s">
        <v>155</v>
      </c>
    </row>
    <row r="21" customFormat="false" ht="14.25" hidden="false" customHeight="false" outlineLevel="0" collapsed="false">
      <c r="A21" s="0" t="s">
        <v>156</v>
      </c>
    </row>
    <row r="22" customFormat="false" ht="14.25" hidden="false" customHeight="false" outlineLevel="0" collapsed="false">
      <c r="A22" s="0" t="s">
        <v>157</v>
      </c>
    </row>
    <row r="23" customFormat="false" ht="14.25" hidden="false" customHeight="false" outlineLevel="0" collapsed="false">
      <c r="A23" s="0" t="s">
        <v>158</v>
      </c>
    </row>
    <row r="24" customFormat="false" ht="14.25" hidden="false" customHeight="false" outlineLevel="0" collapsed="false">
      <c r="A24" s="0" t="s">
        <v>159</v>
      </c>
    </row>
    <row r="25" customFormat="false" ht="14.25" hidden="false" customHeight="false" outlineLevel="0" collapsed="false">
      <c r="A25" s="0" t="s">
        <v>160</v>
      </c>
    </row>
    <row r="26" customFormat="false" ht="14.25" hidden="false" customHeight="false" outlineLevel="0" collapsed="false">
      <c r="A26" s="0" t="s">
        <v>161</v>
      </c>
    </row>
    <row r="27" customFormat="false" ht="14.25" hidden="false" customHeight="false" outlineLevel="0" collapsed="false">
      <c r="A27" s="0" t="s">
        <v>162</v>
      </c>
    </row>
    <row r="28" customFormat="false" ht="14.25" hidden="false" customHeight="false" outlineLevel="0" collapsed="false">
      <c r="A28" s="0" t="s">
        <v>163</v>
      </c>
    </row>
    <row r="29" customFormat="false" ht="14.25" hidden="false" customHeight="false" outlineLevel="0" collapsed="false">
      <c r="A29" s="0" t="s">
        <v>164</v>
      </c>
    </row>
    <row r="30" customFormat="false" ht="14.25" hidden="false" customHeight="false" outlineLevel="0" collapsed="false">
      <c r="A30" s="0" t="s">
        <v>165</v>
      </c>
    </row>
    <row r="31" customFormat="false" ht="14.25" hidden="false" customHeight="false" outlineLevel="0" collapsed="false">
      <c r="A31" s="0" t="s">
        <v>166</v>
      </c>
    </row>
    <row r="32" customFormat="false" ht="14.25" hidden="false" customHeight="false" outlineLevel="0" collapsed="false">
      <c r="A32" s="0" t="s">
        <v>167</v>
      </c>
    </row>
    <row r="33" customFormat="false" ht="14.25" hidden="false" customHeight="false" outlineLevel="0" collapsed="false">
      <c r="A33" s="0" t="s">
        <v>168</v>
      </c>
    </row>
    <row r="34" customFormat="false" ht="14.25" hidden="false" customHeight="false" outlineLevel="0" collapsed="false">
      <c r="A34" s="0" t="s">
        <v>169</v>
      </c>
    </row>
    <row r="35" customFormat="false" ht="14.25" hidden="false" customHeight="false" outlineLevel="0" collapsed="false">
      <c r="A35" s="0" t="s">
        <v>170</v>
      </c>
    </row>
    <row r="36" customFormat="false" ht="14.25" hidden="false" customHeight="false" outlineLevel="0" collapsed="false">
      <c r="A36" s="0" t="s">
        <v>171</v>
      </c>
    </row>
    <row r="37" customFormat="false" ht="14.25" hidden="false" customHeight="false" outlineLevel="0" collapsed="false">
      <c r="A37" s="0" t="s">
        <v>172</v>
      </c>
    </row>
    <row r="38" customFormat="false" ht="14.25" hidden="false" customHeight="false" outlineLevel="0" collapsed="false">
      <c r="A38" s="0" t="s">
        <v>173</v>
      </c>
    </row>
    <row r="39" customFormat="false" ht="14.25" hidden="false" customHeight="false" outlineLevel="0" collapsed="false">
      <c r="A39" s="0" t="s">
        <v>174</v>
      </c>
    </row>
    <row r="40" customFormat="false" ht="14.25" hidden="false" customHeight="false" outlineLevel="0" collapsed="false">
      <c r="A40" s="0" t="s">
        <v>175</v>
      </c>
    </row>
    <row r="41" customFormat="false" ht="14.25" hidden="false" customHeight="false" outlineLevel="0" collapsed="false">
      <c r="A41" s="0" t="s">
        <v>176</v>
      </c>
    </row>
    <row r="42" customFormat="false" ht="14.25" hidden="false" customHeight="false" outlineLevel="0" collapsed="false">
      <c r="A42" s="0" t="s">
        <v>177</v>
      </c>
    </row>
    <row r="43" customFormat="false" ht="14.25" hidden="false" customHeight="false" outlineLevel="0" collapsed="false">
      <c r="A43" s="0" t="s">
        <v>178</v>
      </c>
    </row>
    <row r="44" customFormat="false" ht="14.25" hidden="false" customHeight="false" outlineLevel="0" collapsed="false">
      <c r="A44" s="0" t="s">
        <v>179</v>
      </c>
    </row>
    <row r="45" customFormat="false" ht="14.25" hidden="false" customHeight="false" outlineLevel="0" collapsed="false">
      <c r="A45" s="0" t="s">
        <v>180</v>
      </c>
    </row>
    <row r="46" customFormat="false" ht="14.25" hidden="false" customHeight="false" outlineLevel="0" collapsed="false">
      <c r="A46" s="0" t="s">
        <v>181</v>
      </c>
    </row>
    <row r="47" customFormat="false" ht="14.25" hidden="false" customHeight="false" outlineLevel="0" collapsed="false">
      <c r="A47" s="0" t="s">
        <v>182</v>
      </c>
    </row>
    <row r="48" customFormat="false" ht="14.25" hidden="false" customHeight="false" outlineLevel="0" collapsed="false">
      <c r="A48" s="0" t="s">
        <v>183</v>
      </c>
    </row>
    <row r="49" customFormat="false" ht="14.25" hidden="false" customHeight="false" outlineLevel="0" collapsed="false">
      <c r="A49" s="0" t="s">
        <v>184</v>
      </c>
    </row>
    <row r="50" customFormat="false" ht="14.25" hidden="false" customHeight="false" outlineLevel="0" collapsed="false">
      <c r="A50" s="0" t="s">
        <v>185</v>
      </c>
    </row>
    <row r="51" customFormat="false" ht="14.25" hidden="false" customHeight="false" outlineLevel="0" collapsed="false">
      <c r="A51" s="0" t="s">
        <v>186</v>
      </c>
    </row>
    <row r="52" customFormat="false" ht="14.25" hidden="false" customHeight="false" outlineLevel="0" collapsed="false">
      <c r="A52" s="0" t="s">
        <v>187</v>
      </c>
    </row>
    <row r="53" customFormat="false" ht="14.25" hidden="false" customHeight="false" outlineLevel="0" collapsed="false">
      <c r="A53" s="0" t="s">
        <v>188</v>
      </c>
    </row>
    <row r="54" customFormat="false" ht="14.25" hidden="false" customHeight="false" outlineLevel="0" collapsed="false">
      <c r="A54" s="0" t="s">
        <v>189</v>
      </c>
    </row>
    <row r="55" customFormat="false" ht="14.25" hidden="false" customHeight="false" outlineLevel="0" collapsed="false">
      <c r="A55" s="0" t="s">
        <v>190</v>
      </c>
    </row>
    <row r="56" customFormat="false" ht="14.25" hidden="false" customHeight="false" outlineLevel="0" collapsed="false">
      <c r="A56" s="0" t="s">
        <v>191</v>
      </c>
    </row>
    <row r="57" customFormat="false" ht="14.25" hidden="false" customHeight="false" outlineLevel="0" collapsed="false">
      <c r="A57" s="0" t="s">
        <v>192</v>
      </c>
    </row>
    <row r="58" customFormat="false" ht="14.25" hidden="false" customHeight="false" outlineLevel="0" collapsed="false">
      <c r="A58" s="0" t="s">
        <v>193</v>
      </c>
    </row>
    <row r="59" customFormat="false" ht="14.25" hidden="false" customHeight="false" outlineLevel="0" collapsed="false">
      <c r="A59" s="0" t="s">
        <v>194</v>
      </c>
    </row>
    <row r="60" customFormat="false" ht="14.25" hidden="false" customHeight="false" outlineLevel="0" collapsed="false">
      <c r="A60" s="0" t="s">
        <v>195</v>
      </c>
    </row>
    <row r="61" customFormat="false" ht="14.25" hidden="false" customHeight="false" outlineLevel="0" collapsed="false">
      <c r="A61" s="0" t="s">
        <v>196</v>
      </c>
    </row>
    <row r="62" customFormat="false" ht="14.25" hidden="false" customHeight="false" outlineLevel="0" collapsed="false">
      <c r="A62" s="0" t="s">
        <v>197</v>
      </c>
    </row>
    <row r="63" customFormat="false" ht="14.25" hidden="false" customHeight="false" outlineLevel="0" collapsed="false">
      <c r="A63" s="0" t="s">
        <v>198</v>
      </c>
    </row>
    <row r="64" customFormat="false" ht="14.25" hidden="false" customHeight="false" outlineLevel="0" collapsed="false">
      <c r="A64" s="0" t="s">
        <v>199</v>
      </c>
    </row>
    <row r="65" customFormat="false" ht="14.25" hidden="false" customHeight="false" outlineLevel="0" collapsed="false">
      <c r="A65" s="0" t="s">
        <v>200</v>
      </c>
    </row>
    <row r="66" customFormat="false" ht="14.25" hidden="false" customHeight="false" outlineLevel="0" collapsed="false">
      <c r="A66" s="0" t="s">
        <v>201</v>
      </c>
    </row>
    <row r="67" customFormat="false" ht="14.25" hidden="false" customHeight="false" outlineLevel="0" collapsed="false">
      <c r="A67" s="0" t="s">
        <v>202</v>
      </c>
    </row>
    <row r="68" customFormat="false" ht="14.25" hidden="false" customHeight="false" outlineLevel="0" collapsed="false">
      <c r="A68" s="0" t="s">
        <v>203</v>
      </c>
    </row>
    <row r="69" customFormat="false" ht="14.25" hidden="false" customHeight="false" outlineLevel="0" collapsed="false">
      <c r="A69" s="0" t="s">
        <v>204</v>
      </c>
    </row>
    <row r="70" customFormat="false" ht="14.25" hidden="false" customHeight="false" outlineLevel="0" collapsed="false">
      <c r="A70" s="0" t="s">
        <v>205</v>
      </c>
    </row>
    <row r="71" customFormat="false" ht="14.25" hidden="false" customHeight="false" outlineLevel="0" collapsed="false">
      <c r="A71" s="0" t="s">
        <v>206</v>
      </c>
    </row>
    <row r="72" customFormat="false" ht="14.25" hidden="false" customHeight="false" outlineLevel="0" collapsed="false">
      <c r="A72" s="0" t="s">
        <v>207</v>
      </c>
    </row>
    <row r="73" customFormat="false" ht="14.25" hidden="false" customHeight="false" outlineLevel="0" collapsed="false">
      <c r="A73" s="0" t="s">
        <v>208</v>
      </c>
    </row>
    <row r="74" customFormat="false" ht="14.25" hidden="false" customHeight="false" outlineLevel="0" collapsed="false">
      <c r="A74" s="0" t="s">
        <v>209</v>
      </c>
    </row>
    <row r="75" customFormat="false" ht="14.25" hidden="false" customHeight="false" outlineLevel="0" collapsed="false">
      <c r="A75" s="0" t="s">
        <v>210</v>
      </c>
    </row>
    <row r="76" customFormat="false" ht="14.25" hidden="false" customHeight="false" outlineLevel="0" collapsed="false">
      <c r="A76" s="0" t="s">
        <v>211</v>
      </c>
    </row>
    <row r="77" customFormat="false" ht="14.25" hidden="false" customHeight="false" outlineLevel="0" collapsed="false">
      <c r="A77" s="0" t="s">
        <v>212</v>
      </c>
    </row>
    <row r="78" customFormat="false" ht="14.25" hidden="false" customHeight="false" outlineLevel="0" collapsed="false">
      <c r="A78" s="0" t="s">
        <v>213</v>
      </c>
    </row>
    <row r="79" customFormat="false" ht="14.25" hidden="false" customHeight="false" outlineLevel="0" collapsed="false">
      <c r="A79" s="0" t="s">
        <v>214</v>
      </c>
    </row>
    <row r="80" customFormat="false" ht="14.25" hidden="false" customHeight="false" outlineLevel="0" collapsed="false">
      <c r="A80" s="0" t="s">
        <v>215</v>
      </c>
    </row>
    <row r="81" customFormat="false" ht="14.25" hidden="false" customHeight="false" outlineLevel="0" collapsed="false">
      <c r="A81" s="0" t="s">
        <v>216</v>
      </c>
    </row>
    <row r="82" customFormat="false" ht="14.25" hidden="false" customHeight="false" outlineLevel="0" collapsed="false">
      <c r="A82" s="0" t="s">
        <v>217</v>
      </c>
    </row>
    <row r="83" customFormat="false" ht="14.25" hidden="false" customHeight="false" outlineLevel="0" collapsed="false">
      <c r="A83" s="0" t="s">
        <v>218</v>
      </c>
    </row>
    <row r="84" customFormat="false" ht="14.25" hidden="false" customHeight="false" outlineLevel="0" collapsed="false">
      <c r="A84" s="0" t="s">
        <v>219</v>
      </c>
    </row>
    <row r="85" customFormat="false" ht="14.25" hidden="false" customHeight="false" outlineLevel="0" collapsed="false">
      <c r="A85" s="0" t="s">
        <v>220</v>
      </c>
    </row>
    <row r="86" customFormat="false" ht="14.25" hidden="false" customHeight="false" outlineLevel="0" collapsed="false">
      <c r="A86" s="0" t="s">
        <v>221</v>
      </c>
    </row>
    <row r="87" customFormat="false" ht="14.25" hidden="false" customHeight="false" outlineLevel="0" collapsed="false">
      <c r="A87" s="0" t="s">
        <v>131</v>
      </c>
    </row>
    <row r="88" customFormat="false" ht="14.25" hidden="false" customHeight="false" outlineLevel="0" collapsed="false">
      <c r="A88" s="0" t="s">
        <v>222</v>
      </c>
    </row>
    <row r="89" customFormat="false" ht="14.25" hidden="false" customHeight="false" outlineLevel="0" collapsed="false">
      <c r="A89" s="0" t="s">
        <v>120</v>
      </c>
    </row>
    <row r="90" customFormat="false" ht="14.25" hidden="false" customHeight="false" outlineLevel="0" collapsed="false">
      <c r="A90" s="0" t="s">
        <v>223</v>
      </c>
    </row>
    <row r="91" customFormat="false" ht="14.25" hidden="false" customHeight="false" outlineLevel="0" collapsed="false">
      <c r="A91" s="0" t="s">
        <v>224</v>
      </c>
    </row>
    <row r="92" customFormat="false" ht="14.25" hidden="false" customHeight="false" outlineLevel="0" collapsed="false">
      <c r="A92" s="0" t="s">
        <v>225</v>
      </c>
    </row>
    <row r="93" customFormat="false" ht="14.25" hidden="false" customHeight="false" outlineLevel="0" collapsed="false">
      <c r="A93" s="0" t="s">
        <v>133</v>
      </c>
    </row>
    <row r="94" customFormat="false" ht="14.25" hidden="false" customHeight="false" outlineLevel="0" collapsed="false">
      <c r="A94" s="0" t="s">
        <v>226</v>
      </c>
    </row>
    <row r="95" customFormat="false" ht="14.25" hidden="false" customHeight="false" outlineLevel="0" collapsed="false">
      <c r="A95" s="0" t="s">
        <v>227</v>
      </c>
    </row>
    <row r="96" customFormat="false" ht="14.25" hidden="false" customHeight="false" outlineLevel="0" collapsed="false">
      <c r="A96" s="0" t="s">
        <v>228</v>
      </c>
    </row>
    <row r="97" customFormat="false" ht="14.25" hidden="false" customHeight="false" outlineLevel="0" collapsed="false">
      <c r="A97" s="0" t="s">
        <v>229</v>
      </c>
    </row>
    <row r="98" customFormat="false" ht="14.25" hidden="false" customHeight="false" outlineLevel="0" collapsed="false">
      <c r="A98" s="0" t="s">
        <v>230</v>
      </c>
    </row>
    <row r="99" customFormat="false" ht="14.25" hidden="false" customHeight="false" outlineLevel="0" collapsed="false">
      <c r="A99" s="0" t="s">
        <v>228</v>
      </c>
    </row>
    <row r="100" customFormat="false" ht="14.25" hidden="false" customHeight="false" outlineLevel="0" collapsed="false">
      <c r="A100" s="0" t="s">
        <v>229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5"/>
  <sheetViews>
    <sheetView showFormulas="false" showGridLines="true" showRowColHeaders="true" showZeros="true" rightToLeft="false" tabSelected="false" showOutlineSymbols="true" defaultGridColor="true" view="normal" topLeftCell="A69" colorId="64" zoomScale="100" zoomScaleNormal="100" zoomScalePageLayoutView="100" workbookViewId="0">
      <selection pane="topLeft" activeCell="C98" activeCellId="0" sqref="C98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0.33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1" t="n">
        <v>45838</v>
      </c>
    </row>
    <row r="3" customFormat="false" ht="14.25" hidden="false" customHeight="false" outlineLevel="0" collapsed="false">
      <c r="A3" s="1" t="n">
        <v>45657</v>
      </c>
    </row>
    <row r="4" customFormat="false" ht="14.25" hidden="false" customHeight="false" outlineLevel="0" collapsed="false">
      <c r="A4" s="0" t="s">
        <v>231</v>
      </c>
    </row>
    <row r="5" customFormat="false" ht="14.25" hidden="false" customHeight="false" outlineLevel="0" collapsed="false">
      <c r="A5" s="0" t="s">
        <v>232</v>
      </c>
    </row>
    <row r="6" customFormat="false" ht="14.25" hidden="false" customHeight="false" outlineLevel="0" collapsed="false">
      <c r="A6" s="0" t="s">
        <v>233</v>
      </c>
    </row>
    <row r="7" customFormat="false" ht="14.25" hidden="false" customHeight="false" outlineLevel="0" collapsed="false">
      <c r="A7" s="0" t="s">
        <v>234</v>
      </c>
    </row>
    <row r="8" customFormat="false" ht="14.25" hidden="false" customHeight="false" outlineLevel="0" collapsed="false">
      <c r="A8" s="0" t="s">
        <v>235</v>
      </c>
    </row>
    <row r="9" customFormat="false" ht="14.25" hidden="false" customHeight="false" outlineLevel="0" collapsed="false">
      <c r="A9" s="0" t="s">
        <v>236</v>
      </c>
    </row>
    <row r="10" customFormat="false" ht="14.25" hidden="false" customHeight="false" outlineLevel="0" collapsed="false">
      <c r="A10" s="0" t="s">
        <v>237</v>
      </c>
    </row>
    <row r="11" customFormat="false" ht="14.25" hidden="false" customHeight="false" outlineLevel="0" collapsed="false">
      <c r="A11" s="0" t="s">
        <v>238</v>
      </c>
    </row>
    <row r="12" customFormat="false" ht="14.25" hidden="false" customHeight="false" outlineLevel="0" collapsed="false">
      <c r="A12" s="0" t="s">
        <v>239</v>
      </c>
    </row>
    <row r="13" customFormat="false" ht="14.25" hidden="false" customHeight="false" outlineLevel="0" collapsed="false">
      <c r="A13" s="0" t="s">
        <v>240</v>
      </c>
    </row>
    <row r="14" customFormat="false" ht="14.25" hidden="false" customHeight="false" outlineLevel="0" collapsed="false">
      <c r="A14" s="0" t="s">
        <v>241</v>
      </c>
    </row>
    <row r="15" customFormat="false" ht="14.25" hidden="false" customHeight="false" outlineLevel="0" collapsed="false">
      <c r="A15" s="0" t="s">
        <v>242</v>
      </c>
    </row>
    <row r="16" customFormat="false" ht="14.25" hidden="false" customHeight="false" outlineLevel="0" collapsed="false">
      <c r="A16" s="0" t="s">
        <v>243</v>
      </c>
    </row>
    <row r="17" customFormat="false" ht="14.25" hidden="false" customHeight="false" outlineLevel="0" collapsed="false">
      <c r="A17" s="0" t="s">
        <v>244</v>
      </c>
    </row>
    <row r="18" customFormat="false" ht="14.25" hidden="false" customHeight="false" outlineLevel="0" collapsed="false">
      <c r="A18" s="0" t="s">
        <v>245</v>
      </c>
    </row>
    <row r="19" customFormat="false" ht="14.25" hidden="false" customHeight="false" outlineLevel="0" collapsed="false">
      <c r="A19" s="0" t="s">
        <v>246</v>
      </c>
    </row>
    <row r="20" customFormat="false" ht="14.25" hidden="false" customHeight="false" outlineLevel="0" collapsed="false">
      <c r="A20" s="0" t="s">
        <v>247</v>
      </c>
    </row>
    <row r="21" customFormat="false" ht="14.25" hidden="false" customHeight="false" outlineLevel="0" collapsed="false">
      <c r="A21" s="0" t="s">
        <v>248</v>
      </c>
    </row>
    <row r="22" customFormat="false" ht="14.25" hidden="false" customHeight="false" outlineLevel="0" collapsed="false">
      <c r="A22" s="0" t="s">
        <v>249</v>
      </c>
    </row>
    <row r="23" customFormat="false" ht="14.25" hidden="false" customHeight="false" outlineLevel="0" collapsed="false">
      <c r="A23" s="0" t="s">
        <v>250</v>
      </c>
    </row>
    <row r="24" customFormat="false" ht="14.25" hidden="false" customHeight="false" outlineLevel="0" collapsed="false">
      <c r="A24" s="0" t="s">
        <v>251</v>
      </c>
    </row>
    <row r="25" customFormat="false" ht="14.25" hidden="false" customHeight="false" outlineLevel="0" collapsed="false">
      <c r="A25" s="0" t="s">
        <v>252</v>
      </c>
    </row>
    <row r="26" customFormat="false" ht="14.25" hidden="false" customHeight="false" outlineLevel="0" collapsed="false">
      <c r="A26" s="0" t="s">
        <v>253</v>
      </c>
    </row>
    <row r="27" customFormat="false" ht="14.25" hidden="false" customHeight="false" outlineLevel="0" collapsed="false">
      <c r="A27" s="0" t="s">
        <v>254</v>
      </c>
    </row>
    <row r="28" customFormat="false" ht="14.25" hidden="false" customHeight="false" outlineLevel="0" collapsed="false">
      <c r="A28" s="0" t="s">
        <v>255</v>
      </c>
    </row>
    <row r="29" customFormat="false" ht="14.25" hidden="false" customHeight="false" outlineLevel="0" collapsed="false">
      <c r="A29" s="0" t="s">
        <v>256</v>
      </c>
    </row>
    <row r="30" customFormat="false" ht="14.25" hidden="false" customHeight="false" outlineLevel="0" collapsed="false">
      <c r="A30" s="0" t="s">
        <v>257</v>
      </c>
    </row>
    <row r="31" customFormat="false" ht="14.25" hidden="false" customHeight="false" outlineLevel="0" collapsed="false">
      <c r="A31" s="0" t="s">
        <v>258</v>
      </c>
    </row>
    <row r="32" customFormat="false" ht="14.25" hidden="false" customHeight="false" outlineLevel="0" collapsed="false">
      <c r="A32" s="0" t="s">
        <v>259</v>
      </c>
    </row>
    <row r="33" customFormat="false" ht="14.25" hidden="false" customHeight="false" outlineLevel="0" collapsed="false">
      <c r="A33" s="0" t="s">
        <v>260</v>
      </c>
    </row>
    <row r="34" customFormat="false" ht="14.25" hidden="false" customHeight="false" outlineLevel="0" collapsed="false">
      <c r="A34" s="0" t="s">
        <v>261</v>
      </c>
    </row>
    <row r="35" customFormat="false" ht="14.25" hidden="false" customHeight="false" outlineLevel="0" collapsed="false">
      <c r="A35" s="0" t="s">
        <v>262</v>
      </c>
    </row>
    <row r="36" customFormat="false" ht="14.25" hidden="false" customHeight="false" outlineLevel="0" collapsed="false">
      <c r="A36" s="0" t="s">
        <v>263</v>
      </c>
    </row>
    <row r="37" customFormat="false" ht="14.25" hidden="false" customHeight="false" outlineLevel="0" collapsed="false">
      <c r="A37" s="0" t="s">
        <v>264</v>
      </c>
    </row>
    <row r="38" customFormat="false" ht="14.25" hidden="false" customHeight="false" outlineLevel="0" collapsed="false">
      <c r="A38" s="0" t="s">
        <v>265</v>
      </c>
    </row>
    <row r="39" customFormat="false" ht="14.25" hidden="false" customHeight="false" outlineLevel="0" collapsed="false">
      <c r="A39" s="0" t="s">
        <v>266</v>
      </c>
    </row>
    <row r="40" customFormat="false" ht="14.25" hidden="false" customHeight="false" outlineLevel="0" collapsed="false">
      <c r="A40" s="0" t="s">
        <v>267</v>
      </c>
    </row>
    <row r="41" customFormat="false" ht="14.25" hidden="false" customHeight="false" outlineLevel="0" collapsed="false">
      <c r="A41" s="0" t="s">
        <v>268</v>
      </c>
    </row>
    <row r="42" customFormat="false" ht="14.25" hidden="false" customHeight="false" outlineLevel="0" collapsed="false">
      <c r="A42" s="0" t="s">
        <v>269</v>
      </c>
    </row>
    <row r="43" customFormat="false" ht="14.25" hidden="false" customHeight="false" outlineLevel="0" collapsed="false">
      <c r="A43" s="0" t="s">
        <v>270</v>
      </c>
    </row>
    <row r="44" customFormat="false" ht="14.25" hidden="false" customHeight="false" outlineLevel="0" collapsed="false">
      <c r="A44" s="0" t="s">
        <v>271</v>
      </c>
    </row>
    <row r="45" customFormat="false" ht="14.25" hidden="false" customHeight="false" outlineLevel="0" collapsed="false">
      <c r="A45" s="0" t="s">
        <v>272</v>
      </c>
    </row>
    <row r="46" customFormat="false" ht="14.25" hidden="false" customHeight="false" outlineLevel="0" collapsed="false">
      <c r="A46" s="0" t="s">
        <v>273</v>
      </c>
    </row>
    <row r="47" customFormat="false" ht="14.25" hidden="false" customHeight="false" outlineLevel="0" collapsed="false">
      <c r="A47" s="0" t="s">
        <v>274</v>
      </c>
    </row>
    <row r="48" customFormat="false" ht="14.25" hidden="false" customHeight="false" outlineLevel="0" collapsed="false">
      <c r="A48" s="0" t="s">
        <v>275</v>
      </c>
    </row>
    <row r="49" customFormat="false" ht="14.25" hidden="false" customHeight="false" outlineLevel="0" collapsed="false">
      <c r="A49" s="0" t="s">
        <v>276</v>
      </c>
    </row>
    <row r="50" customFormat="false" ht="14.25" hidden="false" customHeight="false" outlineLevel="0" collapsed="false">
      <c r="A50" s="0" t="s">
        <v>277</v>
      </c>
    </row>
    <row r="51" customFormat="false" ht="14.25" hidden="false" customHeight="false" outlineLevel="0" collapsed="false">
      <c r="A51" s="0" t="s">
        <v>278</v>
      </c>
    </row>
    <row r="52" customFormat="false" ht="14.25" hidden="false" customHeight="false" outlineLevel="0" collapsed="false">
      <c r="A52" s="0" t="s">
        <v>279</v>
      </c>
    </row>
    <row r="53" customFormat="false" ht="14.25" hidden="false" customHeight="false" outlineLevel="0" collapsed="false">
      <c r="A53" s="0" t="s">
        <v>264</v>
      </c>
    </row>
    <row r="54" customFormat="false" ht="14.25" hidden="false" customHeight="false" outlineLevel="0" collapsed="false">
      <c r="A54" s="0" t="s">
        <v>280</v>
      </c>
    </row>
    <row r="55" customFormat="false" ht="14.25" hidden="false" customHeight="false" outlineLevel="0" collapsed="false">
      <c r="A55" s="0" t="s">
        <v>281</v>
      </c>
    </row>
    <row r="56" customFormat="false" ht="14.25" hidden="false" customHeight="false" outlineLevel="0" collapsed="false">
      <c r="A56" s="0" t="s">
        <v>267</v>
      </c>
    </row>
    <row r="57" customFormat="false" ht="14.25" hidden="false" customHeight="false" outlineLevel="0" collapsed="false">
      <c r="A57" s="0" t="s">
        <v>282</v>
      </c>
    </row>
    <row r="58" customFormat="false" ht="14.25" hidden="false" customHeight="false" outlineLevel="0" collapsed="false">
      <c r="A58" s="0" t="s">
        <v>283</v>
      </c>
    </row>
    <row r="59" customFormat="false" ht="14.25" hidden="false" customHeight="false" outlineLevel="0" collapsed="false">
      <c r="A59" s="0" t="s">
        <v>273</v>
      </c>
    </row>
    <row r="60" customFormat="false" ht="14.25" hidden="false" customHeight="false" outlineLevel="0" collapsed="false">
      <c r="A60" s="0" t="s">
        <v>284</v>
      </c>
    </row>
    <row r="61" customFormat="false" ht="14.25" hidden="false" customHeight="false" outlineLevel="0" collapsed="false">
      <c r="A61" s="0" t="s">
        <v>285</v>
      </c>
    </row>
    <row r="62" customFormat="false" ht="14.25" hidden="false" customHeight="false" outlineLevel="0" collapsed="false">
      <c r="A62" s="0" t="s">
        <v>286</v>
      </c>
    </row>
    <row r="63" customFormat="false" ht="14.25" hidden="false" customHeight="false" outlineLevel="0" collapsed="false">
      <c r="A63" s="0" t="s">
        <v>287</v>
      </c>
    </row>
    <row r="64" customFormat="false" ht="14.25" hidden="false" customHeight="false" outlineLevel="0" collapsed="false">
      <c r="A64" s="0" t="s">
        <v>288</v>
      </c>
    </row>
    <row r="65" customFormat="false" ht="14.25" hidden="false" customHeight="false" outlineLevel="0" collapsed="false">
      <c r="A65" s="0" t="s">
        <v>289</v>
      </c>
    </row>
    <row r="66" customFormat="false" ht="14.25" hidden="false" customHeight="false" outlineLevel="0" collapsed="false">
      <c r="A66" s="0" t="s">
        <v>290</v>
      </c>
    </row>
    <row r="67" customFormat="false" ht="14.25" hidden="false" customHeight="false" outlineLevel="0" collapsed="false">
      <c r="A67" s="0" t="s">
        <v>291</v>
      </c>
    </row>
    <row r="68" customFormat="false" ht="14.25" hidden="false" customHeight="false" outlineLevel="0" collapsed="false">
      <c r="A68" s="0" t="s">
        <v>292</v>
      </c>
    </row>
    <row r="69" customFormat="false" ht="14.25" hidden="false" customHeight="false" outlineLevel="0" collapsed="false">
      <c r="A69" s="0" t="s">
        <v>293</v>
      </c>
    </row>
    <row r="70" customFormat="false" ht="14.25" hidden="false" customHeight="false" outlineLevel="0" collapsed="false">
      <c r="A70" s="0" t="s">
        <v>294</v>
      </c>
    </row>
    <row r="71" customFormat="false" ht="14.25" hidden="false" customHeight="false" outlineLevel="0" collapsed="false">
      <c r="A71" s="0" t="s">
        <v>295</v>
      </c>
    </row>
    <row r="72" customFormat="false" ht="14.25" hidden="false" customHeight="false" outlineLevel="0" collapsed="false">
      <c r="A72" s="0" t="s">
        <v>296</v>
      </c>
    </row>
    <row r="73" customFormat="false" ht="14.25" hidden="false" customHeight="false" outlineLevel="0" collapsed="false">
      <c r="A73" s="0" t="s">
        <v>297</v>
      </c>
    </row>
    <row r="74" customFormat="false" ht="14.25" hidden="false" customHeight="false" outlineLevel="0" collapsed="false">
      <c r="A74" s="0" t="s">
        <v>298</v>
      </c>
    </row>
    <row r="75" customFormat="false" ht="14.25" hidden="false" customHeight="false" outlineLevel="0" collapsed="false">
      <c r="A75" s="0" t="s">
        <v>299</v>
      </c>
    </row>
    <row r="76" customFormat="false" ht="14.25" hidden="false" customHeight="false" outlineLevel="0" collapsed="false">
      <c r="A76" s="0" t="s">
        <v>300</v>
      </c>
    </row>
    <row r="77" customFormat="false" ht="14.25" hidden="false" customHeight="false" outlineLevel="0" collapsed="false">
      <c r="A77" s="0" t="s">
        <v>60</v>
      </c>
    </row>
    <row r="78" customFormat="false" ht="14.25" hidden="false" customHeight="false" outlineLevel="0" collapsed="false">
      <c r="A78" s="0" t="s">
        <v>301</v>
      </c>
    </row>
    <row r="79" customFormat="false" ht="14.25" hidden="false" customHeight="false" outlineLevel="0" collapsed="false">
      <c r="A79" s="0" t="s">
        <v>302</v>
      </c>
    </row>
    <row r="80" customFormat="false" ht="14.25" hidden="false" customHeight="false" outlineLevel="0" collapsed="false">
      <c r="A80" s="0" t="s">
        <v>303</v>
      </c>
    </row>
    <row r="81" customFormat="false" ht="14.25" hidden="false" customHeight="false" outlineLevel="0" collapsed="false">
      <c r="A81" s="0" t="s">
        <v>304</v>
      </c>
    </row>
    <row r="82" customFormat="false" ht="14.25" hidden="false" customHeight="false" outlineLevel="0" collapsed="false">
      <c r="A82" s="0" t="s">
        <v>305</v>
      </c>
    </row>
    <row r="83" customFormat="false" ht="14.25" hidden="false" customHeight="false" outlineLevel="0" collapsed="false">
      <c r="A83" s="0" t="s">
        <v>306</v>
      </c>
    </row>
    <row r="84" customFormat="false" ht="14.25" hidden="false" customHeight="false" outlineLevel="0" collapsed="false">
      <c r="A84" s="0" t="s">
        <v>307</v>
      </c>
    </row>
    <row r="85" customFormat="false" ht="14.25" hidden="false" customHeight="false" outlineLevel="0" collapsed="false">
      <c r="A85" s="0" t="s">
        <v>308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1"/>
  <sheetViews>
    <sheetView showFormulas="false" showGridLines="true" showRowColHeaders="true" showZeros="true" rightToLeft="false" tabSelected="false" showOutlineSymbols="true" defaultGridColor="true" view="normal" topLeftCell="A48" colorId="64" zoomScale="100" zoomScaleNormal="100" zoomScalePageLayoutView="100" workbookViewId="0">
      <selection pane="topLeft" activeCell="A9" activeCellId="0" sqref="A9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3.22"/>
  </cols>
  <sheetData>
    <row r="1" customFormat="false" ht="14.25" hidden="false" customHeight="false" outlineLevel="0" collapsed="false">
      <c r="A1" s="0" t="s">
        <v>69</v>
      </c>
    </row>
    <row r="2" customFormat="false" ht="14.25" hidden="false" customHeight="false" outlineLevel="0" collapsed="false">
      <c r="A2" s="1" t="n">
        <v>45838</v>
      </c>
    </row>
    <row r="3" customFormat="false" ht="14.25" hidden="false" customHeight="false" outlineLevel="0" collapsed="false">
      <c r="A3" s="1" t="n">
        <v>45657</v>
      </c>
    </row>
    <row r="4" customFormat="false" ht="14.25" hidden="false" customHeight="false" outlineLevel="0" collapsed="false">
      <c r="A4" s="0" t="s">
        <v>309</v>
      </c>
    </row>
    <row r="5" customFormat="false" ht="14.25" hidden="false" customHeight="false" outlineLevel="0" collapsed="false">
      <c r="A5" s="0" t="s">
        <v>310</v>
      </c>
    </row>
    <row r="6" customFormat="false" ht="14.25" hidden="false" customHeight="false" outlineLevel="0" collapsed="false">
      <c r="A6" s="0" t="s">
        <v>311</v>
      </c>
    </row>
    <row r="7" customFormat="false" ht="14.25" hidden="false" customHeight="false" outlineLevel="0" collapsed="false">
      <c r="A7" s="0" t="s">
        <v>312</v>
      </c>
    </row>
    <row r="8" customFormat="false" ht="14.25" hidden="false" customHeight="false" outlineLevel="0" collapsed="false">
      <c r="A8" s="0" t="s">
        <v>237</v>
      </c>
    </row>
    <row r="9" customFormat="false" ht="14.25" hidden="false" customHeight="false" outlineLevel="0" collapsed="false">
      <c r="A9" s="0" t="s">
        <v>313</v>
      </c>
    </row>
    <row r="10" customFormat="false" ht="14.25" hidden="false" customHeight="false" outlineLevel="0" collapsed="false">
      <c r="A10" s="0" t="s">
        <v>314</v>
      </c>
    </row>
    <row r="11" customFormat="false" ht="14.25" hidden="false" customHeight="false" outlineLevel="0" collapsed="false">
      <c r="A11" s="0" t="s">
        <v>240</v>
      </c>
    </row>
    <row r="12" customFormat="false" ht="14.25" hidden="false" customHeight="false" outlineLevel="0" collapsed="false">
      <c r="A12" s="0" t="s">
        <v>315</v>
      </c>
    </row>
    <row r="13" customFormat="false" ht="14.25" hidden="false" customHeight="false" outlineLevel="0" collapsed="false">
      <c r="A13" s="0" t="s">
        <v>316</v>
      </c>
    </row>
    <row r="14" customFormat="false" ht="14.25" hidden="false" customHeight="false" outlineLevel="0" collapsed="false">
      <c r="A14" s="0" t="s">
        <v>317</v>
      </c>
    </row>
    <row r="15" customFormat="false" ht="14.25" hidden="false" customHeight="false" outlineLevel="0" collapsed="false">
      <c r="A15" s="0" t="s">
        <v>318</v>
      </c>
    </row>
    <row r="16" customFormat="false" ht="14.25" hidden="false" customHeight="false" outlineLevel="0" collapsed="false">
      <c r="A16" s="0" t="s">
        <v>319</v>
      </c>
    </row>
    <row r="17" customFormat="false" ht="14.25" hidden="false" customHeight="false" outlineLevel="0" collapsed="false">
      <c r="A17" s="0" t="s">
        <v>320</v>
      </c>
    </row>
    <row r="18" customFormat="false" ht="14.25" hidden="false" customHeight="false" outlineLevel="0" collapsed="false">
      <c r="A18" s="0" t="s">
        <v>321</v>
      </c>
    </row>
    <row r="19" customFormat="false" ht="14.25" hidden="false" customHeight="false" outlineLevel="0" collapsed="false">
      <c r="A19" s="0" t="s">
        <v>322</v>
      </c>
    </row>
    <row r="20" customFormat="false" ht="14.25" hidden="false" customHeight="false" outlineLevel="0" collapsed="false">
      <c r="A20" s="0" t="s">
        <v>323</v>
      </c>
    </row>
    <row r="21" customFormat="false" ht="14.25" hidden="false" customHeight="false" outlineLevel="0" collapsed="false">
      <c r="A21" s="0" t="s">
        <v>324</v>
      </c>
    </row>
    <row r="22" customFormat="false" ht="14.25" hidden="false" customHeight="false" outlineLevel="0" collapsed="false">
      <c r="A22" s="0" t="s">
        <v>325</v>
      </c>
    </row>
    <row r="23" customFormat="false" ht="14.25" hidden="false" customHeight="false" outlineLevel="0" collapsed="false">
      <c r="A23" s="0" t="s">
        <v>326</v>
      </c>
    </row>
    <row r="24" customFormat="false" ht="14.25" hidden="false" customHeight="false" outlineLevel="0" collapsed="false">
      <c r="A24" s="0" t="s">
        <v>327</v>
      </c>
    </row>
    <row r="25" customFormat="false" ht="14.25" hidden="false" customHeight="false" outlineLevel="0" collapsed="false">
      <c r="A25" s="0" t="s">
        <v>328</v>
      </c>
    </row>
    <row r="26" customFormat="false" ht="14.25" hidden="false" customHeight="false" outlineLevel="0" collapsed="false">
      <c r="A26" s="0" t="s">
        <v>329</v>
      </c>
    </row>
    <row r="27" customFormat="false" ht="14.25" hidden="false" customHeight="false" outlineLevel="0" collapsed="false">
      <c r="A27" s="0" t="s">
        <v>330</v>
      </c>
    </row>
    <row r="28" customFormat="false" ht="14.25" hidden="false" customHeight="false" outlineLevel="0" collapsed="false">
      <c r="A28" s="0" t="s">
        <v>331</v>
      </c>
    </row>
    <row r="29" customFormat="false" ht="14.25" hidden="false" customHeight="false" outlineLevel="0" collapsed="false">
      <c r="A29" s="0" t="s">
        <v>332</v>
      </c>
    </row>
    <row r="30" customFormat="false" ht="14.25" hidden="false" customHeight="false" outlineLevel="0" collapsed="false">
      <c r="A30" s="0" t="s">
        <v>333</v>
      </c>
    </row>
    <row r="31" customFormat="false" ht="14.25" hidden="false" customHeight="false" outlineLevel="0" collapsed="false">
      <c r="A31" s="0" t="s">
        <v>334</v>
      </c>
    </row>
    <row r="32" customFormat="false" ht="14.25" hidden="false" customHeight="false" outlineLevel="0" collapsed="false">
      <c r="A32" s="0" t="s">
        <v>335</v>
      </c>
    </row>
    <row r="33" customFormat="false" ht="14.25" hidden="false" customHeight="false" outlineLevel="0" collapsed="false">
      <c r="A33" s="0" t="s">
        <v>336</v>
      </c>
    </row>
    <row r="34" customFormat="false" ht="14.25" hidden="false" customHeight="false" outlineLevel="0" collapsed="false">
      <c r="A34" s="0" t="s">
        <v>334</v>
      </c>
    </row>
    <row r="35" customFormat="false" ht="14.25" hidden="false" customHeight="false" outlineLevel="0" collapsed="false">
      <c r="A35" s="0" t="s">
        <v>335</v>
      </c>
    </row>
    <row r="36" customFormat="false" ht="14.25" hidden="false" customHeight="false" outlineLevel="0" collapsed="false">
      <c r="A36" s="0" t="s">
        <v>337</v>
      </c>
    </row>
    <row r="37" customFormat="false" ht="14.25" hidden="false" customHeight="false" outlineLevel="0" collapsed="false">
      <c r="A37" s="0" t="s">
        <v>338</v>
      </c>
    </row>
    <row r="38" customFormat="false" ht="14.25" hidden="false" customHeight="false" outlineLevel="0" collapsed="false">
      <c r="A38" s="0" t="s">
        <v>339</v>
      </c>
    </row>
    <row r="39" customFormat="false" ht="14.25" hidden="false" customHeight="false" outlineLevel="0" collapsed="false">
      <c r="A39" s="0" t="s">
        <v>340</v>
      </c>
    </row>
    <row r="40" customFormat="false" ht="14.25" hidden="false" customHeight="false" outlineLevel="0" collapsed="false">
      <c r="A40" s="0" t="s">
        <v>341</v>
      </c>
    </row>
    <row r="41" customFormat="false" ht="14.25" hidden="false" customHeight="false" outlineLevel="0" collapsed="false">
      <c r="A41" s="0" t="s">
        <v>342</v>
      </c>
    </row>
    <row r="42" customFormat="false" ht="14.25" hidden="false" customHeight="false" outlineLevel="0" collapsed="false">
      <c r="A42" s="0" t="s">
        <v>343</v>
      </c>
    </row>
    <row r="43" customFormat="false" ht="14.25" hidden="false" customHeight="false" outlineLevel="0" collapsed="false">
      <c r="A43" s="0" t="s">
        <v>344</v>
      </c>
    </row>
    <row r="44" customFormat="false" ht="14.25" hidden="false" customHeight="false" outlineLevel="0" collapsed="false">
      <c r="A44" s="0" t="s">
        <v>345</v>
      </c>
    </row>
    <row r="45" customFormat="false" ht="14.25" hidden="false" customHeight="false" outlineLevel="0" collapsed="false">
      <c r="A45" s="0" t="s">
        <v>346</v>
      </c>
    </row>
    <row r="46" customFormat="false" ht="14.25" hidden="false" customHeight="false" outlineLevel="0" collapsed="false">
      <c r="A46" s="0" t="s">
        <v>347</v>
      </c>
    </row>
    <row r="47" customFormat="false" ht="14.25" hidden="false" customHeight="false" outlineLevel="0" collapsed="false">
      <c r="A47" s="0" t="s">
        <v>348</v>
      </c>
    </row>
    <row r="48" customFormat="false" ht="14.25" hidden="false" customHeight="false" outlineLevel="0" collapsed="false">
      <c r="A48" s="0" t="s">
        <v>349</v>
      </c>
    </row>
    <row r="49" customFormat="false" ht="14.25" hidden="false" customHeight="false" outlineLevel="0" collapsed="false">
      <c r="A49" s="0" t="s">
        <v>350</v>
      </c>
    </row>
    <row r="50" customFormat="false" ht="14.25" hidden="false" customHeight="false" outlineLevel="0" collapsed="false">
      <c r="A50" s="0" t="s">
        <v>351</v>
      </c>
    </row>
    <row r="51" customFormat="false" ht="14.25" hidden="false" customHeight="false" outlineLevel="0" collapsed="false">
      <c r="A51" s="0" t="s">
        <v>352</v>
      </c>
    </row>
    <row r="52" customFormat="false" ht="14.25" hidden="false" customHeight="false" outlineLevel="0" collapsed="false">
      <c r="A52" s="0" t="s">
        <v>353</v>
      </c>
    </row>
    <row r="53" customFormat="false" ht="14.25" hidden="false" customHeight="false" outlineLevel="0" collapsed="false">
      <c r="A53" s="0" t="n">
        <v>420</v>
      </c>
    </row>
    <row r="54" customFormat="false" ht="14.25" hidden="false" customHeight="false" outlineLevel="0" collapsed="false">
      <c r="A54" s="0" t="n">
        <v>420</v>
      </c>
    </row>
    <row r="55" customFormat="false" ht="14.25" hidden="false" customHeight="false" outlineLevel="0" collapsed="false">
      <c r="A55" s="0" t="s">
        <v>354</v>
      </c>
    </row>
    <row r="56" customFormat="false" ht="14.25" hidden="false" customHeight="false" outlineLevel="0" collapsed="false">
      <c r="A56" s="0" t="s">
        <v>355</v>
      </c>
    </row>
    <row r="57" customFormat="false" ht="14.25" hidden="false" customHeight="false" outlineLevel="0" collapsed="false">
      <c r="A57" s="0" t="s">
        <v>356</v>
      </c>
    </row>
    <row r="58" customFormat="false" ht="14.25" hidden="false" customHeight="false" outlineLevel="0" collapsed="false">
      <c r="A58" s="0" t="s">
        <v>357</v>
      </c>
    </row>
    <row r="59" customFormat="false" ht="14.25" hidden="false" customHeight="false" outlineLevel="0" collapsed="false">
      <c r="A59" s="0" t="s">
        <v>358</v>
      </c>
    </row>
    <row r="60" customFormat="false" ht="14.25" hidden="false" customHeight="false" outlineLevel="0" collapsed="false">
      <c r="A60" s="0" t="s">
        <v>358</v>
      </c>
    </row>
    <row r="61" customFormat="false" ht="14.25" hidden="false" customHeight="false" outlineLevel="0" collapsed="false">
      <c r="A61" s="0" t="s">
        <v>359</v>
      </c>
    </row>
    <row r="62" customFormat="false" ht="14.25" hidden="false" customHeight="false" outlineLevel="0" collapsed="false">
      <c r="A62" s="0" t="s">
        <v>360</v>
      </c>
    </row>
    <row r="63" customFormat="false" ht="14.25" hidden="false" customHeight="false" outlineLevel="0" collapsed="false">
      <c r="A63" s="0" t="s">
        <v>361</v>
      </c>
    </row>
    <row r="64" customFormat="false" ht="14.25" hidden="false" customHeight="false" outlineLevel="0" collapsed="false">
      <c r="A64" s="0" t="s">
        <v>361</v>
      </c>
    </row>
    <row r="65" customFormat="false" ht="14.25" hidden="false" customHeight="false" outlineLevel="0" collapsed="false">
      <c r="A65" s="0" t="s">
        <v>362</v>
      </c>
    </row>
    <row r="66" customFormat="false" ht="14.25" hidden="false" customHeight="false" outlineLevel="0" collapsed="false">
      <c r="A66" s="0" t="s">
        <v>363</v>
      </c>
    </row>
    <row r="67" customFormat="false" ht="14.25" hidden="false" customHeight="false" outlineLevel="0" collapsed="false">
      <c r="A67" s="0" t="s">
        <v>364</v>
      </c>
    </row>
    <row r="68" customFormat="false" ht="14.25" hidden="false" customHeight="false" outlineLevel="0" collapsed="false">
      <c r="A68" s="0" t="s">
        <v>365</v>
      </c>
    </row>
    <row r="69" customFormat="false" ht="14.25" hidden="false" customHeight="false" outlineLevel="0" collapsed="false">
      <c r="A69" s="0" t="s">
        <v>366</v>
      </c>
    </row>
    <row r="70" customFormat="false" ht="14.25" hidden="false" customHeight="false" outlineLevel="0" collapsed="false">
      <c r="A70" s="0" t="s">
        <v>307</v>
      </c>
    </row>
    <row r="71" customFormat="false" ht="14.25" hidden="false" customHeight="false" outlineLevel="0" collapsed="false">
      <c r="A71" s="0" t="s">
        <v>308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2"/>
  <sheetViews>
    <sheetView showFormulas="false" showGridLines="true" showRowColHeaders="true" showZeros="true" rightToLeft="false" tabSelected="true" showOutlineSymbols="true" defaultGridColor="true" view="normal" topLeftCell="A56" colorId="64" zoomScale="100" zoomScaleNormal="100" zoomScalePageLayoutView="100" workbookViewId="0">
      <selection pane="topLeft" activeCell="A69" activeCellId="0" sqref="A69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64.89"/>
  </cols>
  <sheetData>
    <row r="1" customFormat="false" ht="14.25" hidden="false" customHeight="false" outlineLevel="0" collapsed="false">
      <c r="A1" s="1" t="s">
        <v>367</v>
      </c>
    </row>
    <row r="2" customFormat="false" ht="14.25" hidden="false" customHeight="false" outlineLevel="0" collapsed="false">
      <c r="A2" s="1" t="n">
        <v>45838</v>
      </c>
    </row>
    <row r="3" customFormat="false" ht="14.25" hidden="false" customHeight="false" outlineLevel="0" collapsed="false">
      <c r="A3" s="1" t="n">
        <v>45473</v>
      </c>
    </row>
    <row r="4" customFormat="false" ht="14.25" hidden="false" customHeight="false" outlineLevel="0" collapsed="false">
      <c r="A4" s="0" t="e">
        <f aca="false" t="array" ref="A4:A4">+ interest and similar income</f>
        <v>#VALUE!</v>
      </c>
    </row>
    <row r="5" customFormat="false" ht="14.25" hidden="false" customHeight="false" outlineLevel="0" collapsed="false">
      <c r="A5" s="0" t="s">
        <v>368</v>
      </c>
    </row>
    <row r="6" customFormat="false" ht="14.25" hidden="false" customHeight="false" outlineLevel="0" collapsed="false">
      <c r="A6" s="0" t="s">
        <v>369</v>
      </c>
    </row>
    <row r="7" customFormat="false" ht="14.25" hidden="false" customHeight="false" outlineLevel="0" collapsed="false">
      <c r="A7" s="0" t="e">
        <f aca="false" t="array" ref="A7:A7">- interest and similar expenses</f>
        <v>#VALUE!</v>
      </c>
    </row>
    <row r="8" customFormat="false" ht="14.25" hidden="false" customHeight="false" outlineLevel="0" collapsed="false">
      <c r="A8" s="0" t="s">
        <v>370</v>
      </c>
    </row>
    <row r="9" customFormat="false" ht="14.25" hidden="false" customHeight="false" outlineLevel="0" collapsed="false">
      <c r="A9" s="0" t="s">
        <v>371</v>
      </c>
    </row>
    <row r="10" customFormat="false" ht="14.25" hidden="false" customHeight="false" outlineLevel="0" collapsed="false">
      <c r="A10" s="0" t="s">
        <v>145</v>
      </c>
    </row>
    <row r="11" customFormat="false" ht="14.25" hidden="false" customHeight="false" outlineLevel="0" collapsed="false">
      <c r="A11" s="0" t="s">
        <v>372</v>
      </c>
    </row>
    <row r="12" customFormat="false" ht="14.25" hidden="false" customHeight="false" outlineLevel="0" collapsed="false">
      <c r="A12" s="0" t="s">
        <v>373</v>
      </c>
    </row>
    <row r="13" customFormat="false" ht="14.25" hidden="false" customHeight="false" outlineLevel="0" collapsed="false">
      <c r="A13" s="0" t="e">
        <f aca="false" t="array" ref="A13:A13">+ income from participatory financing</f>
        <v>#VALUE!</v>
      </c>
    </row>
    <row r="14" customFormat="false" ht="14.25" hidden="false" customHeight="false" outlineLevel="0" collapsed="false">
      <c r="A14" s="0" t="e">
        <f aca="false" t="array" ref="A14:A14">- expenses on participatory financing</f>
        <v>#VALUE!</v>
      </c>
    </row>
    <row r="15" customFormat="false" ht="14.25" hidden="false" customHeight="false" outlineLevel="0" collapsed="false">
      <c r="A15" s="0" t="s">
        <v>374</v>
      </c>
    </row>
    <row r="16" customFormat="false" ht="14.25" hidden="false" customHeight="false" outlineLevel="0" collapsed="false">
      <c r="A16" s="0" t="e">
        <f aca="false" t="array" ref="A16:A16">+ income from lease-financed fixed assets</f>
        <v>#VALUE!</v>
      </c>
    </row>
    <row r="17" customFormat="false" ht="14.25" hidden="false" customHeight="false" outlineLevel="0" collapsed="false">
      <c r="A17" s="0" t="s">
        <v>375</v>
      </c>
    </row>
    <row r="18" customFormat="false" ht="14.25" hidden="false" customHeight="false" outlineLevel="0" collapsed="false">
      <c r="A18" s="0" t="s">
        <v>376</v>
      </c>
    </row>
    <row r="19" customFormat="false" ht="14.25" hidden="false" customHeight="false" outlineLevel="0" collapsed="false">
      <c r="A19" s="0" t="e">
        <f aca="false" t="array" ref="A19:A19">- expenses on lease-financed fixed assets</f>
        <v>#VALUE!</v>
      </c>
    </row>
    <row r="20" customFormat="false" ht="14.25" hidden="false" customHeight="false" outlineLevel="0" collapsed="false">
      <c r="A20" s="0" t="s">
        <v>377</v>
      </c>
    </row>
    <row r="21" customFormat="false" ht="14.25" hidden="false" customHeight="false" outlineLevel="0" collapsed="false">
      <c r="A21" s="0" t="s">
        <v>378</v>
      </c>
    </row>
    <row r="22" customFormat="false" ht="14.25" hidden="false" customHeight="false" outlineLevel="0" collapsed="false">
      <c r="A22" s="0" t="s">
        <v>379</v>
      </c>
    </row>
    <row r="23" customFormat="false" ht="14.25" hidden="false" customHeight="false" outlineLevel="0" collapsed="false">
      <c r="A23" s="0" t="s">
        <v>380</v>
      </c>
    </row>
    <row r="24" customFormat="false" ht="14.25" hidden="false" customHeight="false" outlineLevel="0" collapsed="false">
      <c r="A24" s="0" t="s">
        <v>381</v>
      </c>
    </row>
    <row r="25" customFormat="false" ht="14.25" hidden="false" customHeight="false" outlineLevel="0" collapsed="false">
      <c r="A25" s="0" t="e">
        <f aca="false" t="array" ref="A25:A25">+ income from fixed assets given in ijara</f>
        <v>#VALUE!</v>
      </c>
    </row>
    <row r="26" customFormat="false" ht="14.25" hidden="false" customHeight="false" outlineLevel="0" collapsed="false">
      <c r="A26" s="0" t="e">
        <f aca="false" t="array" ref="A26:A26">- expenses on fixed assets given in ijara</f>
        <v>#VALUE!</v>
      </c>
    </row>
    <row r="27" customFormat="false" ht="14.25" hidden="false" customHeight="false" outlineLevel="0" collapsed="false">
      <c r="A27" s="0" t="s">
        <v>382</v>
      </c>
    </row>
    <row r="28" customFormat="false" ht="14.25" hidden="false" customHeight="false" outlineLevel="0" collapsed="false">
      <c r="A28" s="0" t="e">
        <f aca="false" t="array" ref="A28:A28">+ fees received</f>
        <v>#VALUE!</v>
      </c>
    </row>
    <row r="29" customFormat="false" ht="14.25" hidden="false" customHeight="false" outlineLevel="0" collapsed="false">
      <c r="A29" s="0" t="s">
        <v>383</v>
      </c>
    </row>
    <row r="30" customFormat="false" ht="14.25" hidden="false" customHeight="false" outlineLevel="0" collapsed="false">
      <c r="A30" s="0" t="s">
        <v>384</v>
      </c>
    </row>
    <row r="31" customFormat="false" ht="14.25" hidden="false" customHeight="false" outlineLevel="0" collapsed="false">
      <c r="A31" s="0" t="e">
        <f aca="false" t="array" ref="A31:A31">- fees paid</f>
        <v>#VALUE!</v>
      </c>
    </row>
    <row r="32" customFormat="false" ht="14.25" hidden="false" customHeight="false" outlineLevel="0" collapsed="false">
      <c r="A32" s="0" t="s">
        <v>385</v>
      </c>
    </row>
    <row r="33" customFormat="false" ht="14.25" hidden="false" customHeight="false" outlineLevel="0" collapsed="false">
      <c r="A33" s="0" t="n">
        <v>917</v>
      </c>
    </row>
    <row r="34" customFormat="false" ht="14.25" hidden="false" customHeight="false" outlineLevel="0" collapsed="false">
      <c r="A34" s="0" t="s">
        <v>386</v>
      </c>
    </row>
    <row r="35" customFormat="false" ht="14.25" hidden="false" customHeight="false" outlineLevel="0" collapsed="false">
      <c r="A35" s="0" t="s">
        <v>387</v>
      </c>
    </row>
    <row r="36" customFormat="false" ht="14.25" hidden="false" customHeight="false" outlineLevel="0" collapsed="false">
      <c r="A36" s="0" t="s">
        <v>388</v>
      </c>
    </row>
    <row r="37" customFormat="false" ht="14.25" hidden="false" customHeight="false" outlineLevel="0" collapsed="false">
      <c r="A37" s="0" t="e">
        <f aca="false" t="array" ref="A37:A37">+ income from trading securities</f>
        <v>#VALUE!</v>
      </c>
    </row>
    <row r="38" customFormat="false" ht="14.25" hidden="false" customHeight="false" outlineLevel="0" collapsed="false">
      <c r="A38" s="0" t="s">
        <v>389</v>
      </c>
    </row>
    <row r="39" customFormat="false" ht="14.25" hidden="false" customHeight="false" outlineLevel="0" collapsed="false">
      <c r="A39" s="0" t="s">
        <v>390</v>
      </c>
    </row>
    <row r="40" customFormat="false" ht="14.25" hidden="false" customHeight="false" outlineLevel="0" collapsed="false">
      <c r="A40" s="0" t="e">
        <f aca="false" t="array" ref="A40:A40">+ income from available-for-sale securities</f>
        <v>#VALUE!</v>
      </c>
    </row>
    <row r="41" customFormat="false" ht="14.25" hidden="false" customHeight="false" outlineLevel="0" collapsed="false">
      <c r="A41" s="0" t="s">
        <v>391</v>
      </c>
    </row>
    <row r="42" customFormat="false" ht="14.25" hidden="false" customHeight="false" outlineLevel="0" collapsed="false">
      <c r="A42" s="0" t="n">
        <v>175</v>
      </c>
    </row>
    <row r="43" customFormat="false" ht="14.25" hidden="false" customHeight="false" outlineLevel="0" collapsed="false">
      <c r="A43" s="0" t="e">
        <f aca="false" t="array" ref="A43:A43">+ income from foreign exchange activities</f>
        <v>#VALUE!</v>
      </c>
    </row>
    <row r="44" customFormat="false" ht="14.25" hidden="false" customHeight="false" outlineLevel="0" collapsed="false">
      <c r="A44" s="0" t="s">
        <v>392</v>
      </c>
    </row>
    <row r="45" customFormat="false" ht="14.25" hidden="false" customHeight="false" outlineLevel="0" collapsed="false">
      <c r="A45" s="0" t="s">
        <v>393</v>
      </c>
    </row>
    <row r="46" customFormat="false" ht="14.25" hidden="false" customHeight="false" outlineLevel="0" collapsed="false">
      <c r="A46" s="0" t="e">
        <f aca="false" t="array" ref="A46:A46">+ income from derivatives activities</f>
        <v>#VALUE!</v>
      </c>
    </row>
    <row r="47" customFormat="false" ht="14.25" hidden="false" customHeight="false" outlineLevel="0" collapsed="false">
      <c r="A47" s="0" t="s">
        <v>394</v>
      </c>
    </row>
    <row r="48" customFormat="false" ht="14.25" hidden="false" customHeight="false" outlineLevel="0" collapsed="false">
      <c r="A48" s="0" t="s">
        <v>395</v>
      </c>
    </row>
    <row r="49" customFormat="false" ht="14.25" hidden="false" customHeight="false" outlineLevel="0" collapsed="false">
      <c r="A49" s="0" t="s">
        <v>396</v>
      </c>
    </row>
    <row r="50" customFormat="false" ht="14.25" hidden="false" customHeight="false" outlineLevel="0" collapsed="false">
      <c r="A50" s="0" t="s">
        <v>397</v>
      </c>
    </row>
    <row r="51" customFormat="false" ht="14.25" hidden="false" customHeight="false" outlineLevel="0" collapsed="false">
      <c r="A51" s="0" t="s">
        <v>398</v>
      </c>
    </row>
    <row r="52" customFormat="false" ht="14.25" hidden="false" customHeight="false" outlineLevel="0" collapsed="false">
      <c r="A52" s="0" t="e">
        <f aca="false" t="array" ref="A52:A52">+ result of moudaraba and moucharaka securities transactions</f>
        <v>#VALUE!</v>
      </c>
    </row>
    <row r="53" customFormat="false" ht="14.25" hidden="false" customHeight="false" outlineLevel="0" collapsed="false">
      <c r="A53" s="0" t="e">
        <f aca="false" t="array" ref="A53:A53">+ other banking income</f>
        <v>#VALUE!</v>
      </c>
    </row>
    <row r="54" customFormat="false" ht="14.25" hidden="false" customHeight="false" outlineLevel="0" collapsed="false">
      <c r="A54" s="0" t="s">
        <v>399</v>
      </c>
    </row>
    <row r="55" customFormat="false" ht="14.25" hidden="false" customHeight="false" outlineLevel="0" collapsed="false">
      <c r="A55" s="0" t="s">
        <v>400</v>
      </c>
    </row>
    <row r="56" customFormat="false" ht="14.25" hidden="false" customHeight="false" outlineLevel="0" collapsed="false">
      <c r="A56" s="0" t="e">
        <f aca="false" t="array" ref="A56:A56">- other banking expenses</f>
        <v>#VALUE!</v>
      </c>
    </row>
    <row r="57" customFormat="false" ht="14.25" hidden="false" customHeight="false" outlineLevel="0" collapsed="false">
      <c r="A57" s="0" t="s">
        <v>401</v>
      </c>
    </row>
    <row r="58" customFormat="false" ht="14.25" hidden="false" customHeight="false" outlineLevel="0" collapsed="false">
      <c r="A58" s="0" t="s">
        <v>402</v>
      </c>
    </row>
    <row r="59" customFormat="false" ht="14.25" hidden="false" customHeight="false" outlineLevel="0" collapsed="false">
      <c r="A59" s="0" t="s">
        <v>189</v>
      </c>
    </row>
    <row r="60" customFormat="false" ht="14.25" hidden="false" customHeight="false" outlineLevel="0" collapsed="false">
      <c r="A60" s="0" t="s">
        <v>403</v>
      </c>
    </row>
    <row r="61" customFormat="false" ht="14.25" hidden="false" customHeight="false" outlineLevel="0" collapsed="false">
      <c r="A61" s="0" t="s">
        <v>404</v>
      </c>
    </row>
    <row r="62" customFormat="false" ht="14.25" hidden="false" customHeight="false" outlineLevel="0" collapsed="false">
      <c r="A62" s="0" t="e">
        <f aca="false" t="array" ref="A62:A62">+ income from long-term investments</f>
        <v>#VALUE!</v>
      </c>
    </row>
    <row r="63" customFormat="false" ht="14.25" hidden="false" customHeight="false" outlineLevel="0" collapsed="false">
      <c r="A63" s="0" t="s">
        <v>405</v>
      </c>
    </row>
    <row r="64" customFormat="false" ht="14.25" hidden="false" customHeight="false" outlineLevel="0" collapsed="false">
      <c r="A64" s="0" t="s">
        <v>406</v>
      </c>
    </row>
    <row r="65" customFormat="false" ht="14.25" hidden="false" customHeight="false" outlineLevel="0" collapsed="false">
      <c r="A65" s="0" t="e">
        <f aca="false" t="array" ref="A65:A65">+ other non-banking operating income</f>
        <v>#VALUE!</v>
      </c>
    </row>
    <row r="66" customFormat="false" ht="14.25" hidden="false" customHeight="false" outlineLevel="0" collapsed="false">
      <c r="A66" s="0" t="s">
        <v>407</v>
      </c>
    </row>
    <row r="67" customFormat="false" ht="14.25" hidden="false" customHeight="false" outlineLevel="0" collapsed="false">
      <c r="A67" s="0" t="s">
        <v>408</v>
      </c>
    </row>
    <row r="68" customFormat="false" ht="14.25" hidden="false" customHeight="false" outlineLevel="0" collapsed="false">
      <c r="A68" s="0" t="e">
        <f aca="false" t="array" ref="A68:A68">- other non-banking operating expenses</f>
        <v>#VALUE!</v>
      </c>
    </row>
    <row r="69" customFormat="false" ht="14.25" hidden="false" customHeight="false" outlineLevel="0" collapsed="false">
      <c r="A69" s="0" t="s">
        <v>409</v>
      </c>
    </row>
    <row r="70" customFormat="false" ht="14.25" hidden="false" customHeight="false" outlineLevel="0" collapsed="false">
      <c r="A70" s="0" t="s">
        <v>410</v>
      </c>
    </row>
    <row r="71" customFormat="false" ht="14.25" hidden="false" customHeight="false" outlineLevel="0" collapsed="false">
      <c r="A71" s="0" t="s">
        <v>411</v>
      </c>
    </row>
    <row r="72" customFormat="false" ht="14.25" hidden="false" customHeight="false" outlineLevel="0" collapsed="false">
      <c r="A72" s="0" t="s">
        <v>198</v>
      </c>
    </row>
    <row r="73" customFormat="false" ht="14.25" hidden="false" customHeight="false" outlineLevel="0" collapsed="false">
      <c r="A73" s="0" t="s">
        <v>412</v>
      </c>
    </row>
    <row r="74" customFormat="false" ht="14.25" hidden="false" customHeight="false" outlineLevel="0" collapsed="false">
      <c r="A74" s="0" t="s">
        <v>413</v>
      </c>
    </row>
    <row r="75" customFormat="false" ht="14.25" hidden="false" customHeight="false" outlineLevel="0" collapsed="false">
      <c r="A75" s="0" t="e">
        <f aca="false" t="array" ref="A75:A75">+ net provisions for non-performing loans and signature loans</f>
        <v>#VALUE!</v>
      </c>
    </row>
    <row r="76" customFormat="false" ht="14.25" hidden="false" customHeight="false" outlineLevel="0" collapsed="false">
      <c r="A76" s="0" t="s">
        <v>414</v>
      </c>
    </row>
    <row r="77" customFormat="false" ht="14.25" hidden="false" customHeight="false" outlineLevel="0" collapsed="false">
      <c r="A77" s="0" t="s">
        <v>415</v>
      </c>
    </row>
    <row r="78" customFormat="false" ht="14.25" hidden="false" customHeight="false" outlineLevel="0" collapsed="false">
      <c r="A78" s="0" t="e">
        <f aca="false" t="array" ref="A78:A78">+ other net provisions</f>
        <v>#VALUE!</v>
      </c>
    </row>
    <row r="79" customFormat="false" ht="14.25" hidden="false" customHeight="false" outlineLevel="0" collapsed="false">
      <c r="A79" s="0" t="s">
        <v>416</v>
      </c>
    </row>
    <row r="80" customFormat="false" ht="14.25" hidden="false" customHeight="false" outlineLevel="0" collapsed="false">
      <c r="A80" s="0" t="s">
        <v>417</v>
      </c>
    </row>
    <row r="81" customFormat="false" ht="14.25" hidden="false" customHeight="false" outlineLevel="0" collapsed="false">
      <c r="A81" s="0" t="s">
        <v>204</v>
      </c>
    </row>
    <row r="82" customFormat="false" ht="14.25" hidden="false" customHeight="false" outlineLevel="0" collapsed="false">
      <c r="A82" s="0" t="s">
        <v>418</v>
      </c>
    </row>
    <row r="83" customFormat="false" ht="14.25" hidden="false" customHeight="false" outlineLevel="0" collapsed="false">
      <c r="A83" s="0" t="s">
        <v>419</v>
      </c>
    </row>
    <row r="84" customFormat="false" ht="14.25" hidden="false" customHeight="false" outlineLevel="0" collapsed="false">
      <c r="A84" s="0" t="s">
        <v>420</v>
      </c>
    </row>
    <row r="85" customFormat="false" ht="14.25" hidden="false" customHeight="false" outlineLevel="0" collapsed="false">
      <c r="A85" s="0" t="s">
        <v>421</v>
      </c>
    </row>
    <row r="86" customFormat="false" ht="14.25" hidden="false" customHeight="false" outlineLevel="0" collapsed="false">
      <c r="A86" s="0" t="s">
        <v>422</v>
      </c>
    </row>
    <row r="87" customFormat="false" ht="14.25" hidden="false" customHeight="false" outlineLevel="0" collapsed="false">
      <c r="A87" s="0" t="e">
        <f aca="false" t="array" ref="A87:A87">- income tax</f>
        <v>#VALUE!</v>
      </c>
    </row>
    <row r="88" customFormat="false" ht="14.25" hidden="false" customHeight="false" outlineLevel="0" collapsed="false">
      <c r="A88" s="0" t="s">
        <v>423</v>
      </c>
    </row>
    <row r="89" customFormat="false" ht="14.25" hidden="false" customHeight="false" outlineLevel="0" collapsed="false">
      <c r="A89" s="0" t="s">
        <v>424</v>
      </c>
    </row>
    <row r="90" customFormat="false" ht="14.25" hidden="false" customHeight="false" outlineLevel="0" collapsed="false">
      <c r="A90" s="0" t="s">
        <v>425</v>
      </c>
    </row>
    <row r="91" customFormat="false" ht="14.25" hidden="false" customHeight="false" outlineLevel="0" collapsed="false">
      <c r="A91" s="0" t="s">
        <v>364</v>
      </c>
    </row>
    <row r="92" customFormat="false" ht="14.25" hidden="false" customHeight="false" outlineLevel="0" collapsed="false">
      <c r="A92" s="0" t="s">
        <v>426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Ayman Fenkouch</dc:creator>
  <dc:description/>
  <dc:language>en-US</dc:language>
  <cp:lastModifiedBy/>
  <dcterms:modified xsi:type="dcterms:W3CDTF">2026-03-14T21:59:22Z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
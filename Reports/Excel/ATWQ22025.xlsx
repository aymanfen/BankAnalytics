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Projects\BankData\Output\"/>
    </mc:Choice>
  </mc:AlternateContent>
  <xr:revisionPtr revIDLastSave="0" documentId="13_ncr:1_{3A9BF83C-A639-40AA-80ED-69D490AE0777}" xr6:coauthVersionLast="47" xr6:coauthVersionMax="47" xr10:uidLastSave="{00000000-0000-0000-0000-000000000000}"/>
  <bookViews>
    <workbookView xWindow="-108" yWindow="-108" windowWidth="23256" windowHeight="12576" firstSheet="1" activeTab="5" xr2:uid="{00000000-000D-0000-FFFF-FFFF00000000}"/>
  </bookViews>
  <sheets>
    <sheet name="ConsolidatedAssets" sheetId="1" r:id="rId1"/>
    <sheet name="ConsolidatedLiabilities" sheetId="2" r:id="rId2"/>
    <sheet name="ConsolidatedIncomeStatement" sheetId="3" r:id="rId3"/>
    <sheet name="Assets" sheetId="4" r:id="rId4"/>
    <sheet name="Liabilities" sheetId="5" r:id="rId5"/>
    <sheet name="IncomeStatement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4" i="6" l="1" a="1"/>
  <c r="A4" i="6" s="1"/>
  <c r="A7" i="6" a="1"/>
  <c r="A7" i="6" s="1"/>
  <c r="A13" i="6" a="1"/>
  <c r="A13" i="6" s="1"/>
  <c r="A14" i="6" a="1"/>
  <c r="A14" i="6" s="1"/>
  <c r="A16" i="6" a="1"/>
  <c r="A16" i="6" s="1"/>
  <c r="A19" i="6" a="1"/>
  <c r="A19" i="6" s="1"/>
  <c r="A25" i="6" a="1"/>
  <c r="A25" i="6" s="1"/>
  <c r="A26" i="6" a="1"/>
  <c r="A26" i="6" s="1"/>
  <c r="A28" i="6" a="1"/>
  <c r="A28" i="6" s="1"/>
  <c r="A31" i="6" a="1"/>
  <c r="A31" i="6" s="1"/>
  <c r="A37" i="6" a="1"/>
  <c r="A37" i="6" s="1"/>
  <c r="A40" i="6" a="1"/>
  <c r="A40" i="6" s="1"/>
  <c r="A43" i="6" a="1"/>
  <c r="A43" i="6" s="1"/>
  <c r="A46" i="6" a="1"/>
  <c r="A46" i="6" s="1"/>
  <c r="A52" i="6" a="1"/>
  <c r="A52" i="6" s="1"/>
  <c r="A53" i="6" a="1"/>
  <c r="A53" i="6" s="1"/>
  <c r="A56" i="6" a="1"/>
  <c r="A56" i="6" s="1"/>
  <c r="A62" i="6" a="1"/>
  <c r="A62" i="6" s="1"/>
  <c r="A65" i="6" a="1"/>
  <c r="A65" i="6" s="1"/>
  <c r="A68" i="6" a="1"/>
  <c r="A68" i="6" s="1"/>
  <c r="A69" i="6" a="1"/>
  <c r="A69" i="6" s="1"/>
  <c r="A75" i="6" a="1"/>
  <c r="A75" i="6" s="1"/>
  <c r="A78" i="6" a="1"/>
  <c r="A78" i="6" s="1"/>
  <c r="A87" i="6" a="1"/>
  <c r="A87" i="6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<sst xmlns="http://schemas.openxmlformats.org/spreadsheetml/2006/main" count="460" uniqueCount="426">
  <si>
    <t>ASSETS</t>
  </si>
  <si>
    <t>Cash - Central banks -Public treasury- Postal cheque</t>
  </si>
  <si>
    <t>27 722 943</t>
  </si>
  <si>
    <t>Financial assets at fair value through profit or loss (FV P&amp;L )</t>
  </si>
  <si>
    <t>76 695 538</t>
  </si>
  <si>
    <t>Trading assets</t>
  </si>
  <si>
    <t>75 878 854</t>
  </si>
  <si>
    <t>Other financial assets at fair value through profit or loss</t>
  </si>
  <si>
    <t>816 684</t>
  </si>
  <si>
    <t>Derivatives used for hedging purposes</t>
  </si>
  <si>
    <t>34 049 427</t>
  </si>
  <si>
    <t>21 450 295</t>
  </si>
  <si>
    <t>12 599 132</t>
  </si>
  <si>
    <t>Securities at amortised cost</t>
  </si>
  <si>
    <t>30 547 034</t>
  </si>
  <si>
    <t>Loans &amp; receivables to credit institutions at amortised cost</t>
  </si>
  <si>
    <t>48 692 644</t>
  </si>
  <si>
    <t>Loans &amp; receivables to customers at amortised cost</t>
  </si>
  <si>
    <t>413 590 717</t>
  </si>
  <si>
    <t>Remeasurement adjustment on interest-rate risk hedged portfolios</t>
  </si>
  <si>
    <t>Financial investments of insurance activities</t>
  </si>
  <si>
    <t>51 042 885</t>
  </si>
  <si>
    <t>Insurance contracts assets</t>
  </si>
  <si>
    <t>1 252 254</t>
  </si>
  <si>
    <t>375 390</t>
  </si>
  <si>
    <t>Deferred tax assets</t>
  </si>
  <si>
    <t>6 324 240</t>
  </si>
  <si>
    <t>Accrued income and other assets</t>
  </si>
  <si>
    <t>12 326 543</t>
  </si>
  <si>
    <t>Non current assets held for sale</t>
  </si>
  <si>
    <t>75 056</t>
  </si>
  <si>
    <t>Equity-method investments</t>
  </si>
  <si>
    <t>102 120</t>
  </si>
  <si>
    <t>Investment property</t>
  </si>
  <si>
    <t>2 062 545</t>
  </si>
  <si>
    <t>Property, plant, equipment</t>
  </si>
  <si>
    <t>7 913 260</t>
  </si>
  <si>
    <t>Intangible assets</t>
  </si>
  <si>
    <t>3 852 296</t>
  </si>
  <si>
    <t>Goodwill</t>
  </si>
  <si>
    <t>9 868 056</t>
  </si>
  <si>
    <t>TOTAL ASSETS</t>
  </si>
  <si>
    <t>726 492 948</t>
  </si>
  <si>
    <t>LIABILITIES</t>
  </si>
  <si>
    <t>Central banks-Public treasury-Postal cheque</t>
  </si>
  <si>
    <t>1 716 269</t>
  </si>
  <si>
    <t>Trading liabilities</t>
  </si>
  <si>
    <t>Other financial liabilities at fair value through profit or loss</t>
  </si>
  <si>
    <t>Deposits from credit institutions</t>
  </si>
  <si>
    <t>58 977 903</t>
  </si>
  <si>
    <t>Deposits from customers</t>
  </si>
  <si>
    <t>480 478 661</t>
  </si>
  <si>
    <t>Notes &amp; certificates issued</t>
  </si>
  <si>
    <t>17 831 828</t>
  </si>
  <si>
    <t>2 583 982</t>
  </si>
  <si>
    <t>Deferred tax liabilities</t>
  </si>
  <si>
    <t>5 151 098</t>
  </si>
  <si>
    <t>Accured expenses and other liabilities</t>
  </si>
  <si>
    <t>19 898 360</t>
  </si>
  <si>
    <t>Debts related to non current assets held for sale</t>
  </si>
  <si>
    <t>Insurance contracts liabilities</t>
  </si>
  <si>
    <t>46 083 636</t>
  </si>
  <si>
    <t>Provisions</t>
  </si>
  <si>
    <t>3 770 785</t>
  </si>
  <si>
    <t>Subsidies and allocated funds</t>
  </si>
  <si>
    <t>153 360</t>
  </si>
  <si>
    <t>Subordinated debts and special guarantee funds</t>
  </si>
  <si>
    <t>17 344 140</t>
  </si>
  <si>
    <t>Shareholders' equity</t>
  </si>
  <si>
    <t>72 502 834</t>
  </si>
  <si>
    <t>Equity and related reserves</t>
  </si>
  <si>
    <t>14 646 116</t>
  </si>
  <si>
    <t>Consolidated reserves</t>
  </si>
  <si>
    <t>44 685 721</t>
  </si>
  <si>
    <t>Group share</t>
  </si>
  <si>
    <t>37 791 270</t>
  </si>
  <si>
    <t>Non-controlling interests</t>
  </si>
  <si>
    <t>6 894 451</t>
  </si>
  <si>
    <t>Unrealized or deferred Gains / losses</t>
  </si>
  <si>
    <t>1 488 223</t>
  </si>
  <si>
    <t>514 260</t>
  </si>
  <si>
    <t>973 963</t>
  </si>
  <si>
    <t>Net income</t>
  </si>
  <si>
    <t>11 682 774</t>
  </si>
  <si>
    <t>9 504 486</t>
  </si>
  <si>
    <t>2 178 288</t>
  </si>
  <si>
    <t>TOTAL LIABILITIES</t>
  </si>
  <si>
    <t>Interest income</t>
  </si>
  <si>
    <t>Interest expenses</t>
  </si>
  <si>
    <t>Fees income</t>
  </si>
  <si>
    <t>Fees expenses</t>
  </si>
  <si>
    <t>Net gains or losses occured by the hedging of net positions</t>
  </si>
  <si>
    <t>Net gains or losses on financial instruments at fair value through profit or loss</t>
  </si>
  <si>
    <t>Net gains or losses on trading assets</t>
  </si>
  <si>
    <t>Net gains or losses on other assets at fair value through profit or loss</t>
  </si>
  <si>
    <t>Net gains or losses on financial assets at fair value through other comprehensive income</t>
  </si>
  <si>
    <t>Net gains or losses on debt instruments at fair value through other comprehensive income (recycling)</t>
  </si>
  <si>
    <t>Net gains or losses on derecognised financial assets at amortised cost</t>
  </si>
  <si>
    <t>Income on other activities</t>
  </si>
  <si>
    <t>Expenses on other activities</t>
  </si>
  <si>
    <t>Net income from insurance activities</t>
  </si>
  <si>
    <t>NET BANKING INCOME</t>
  </si>
  <si>
    <t>Total operating expenses</t>
  </si>
  <si>
    <t>Depreciation, amortisation and impairment of property, plant and equipment and intangible assets</t>
  </si>
  <si>
    <t>GROSS OPERATING INCOME</t>
  </si>
  <si>
    <t>NET OPERATING INCOME</t>
  </si>
  <si>
    <t>+/- Share of earnings of associates and equity-method entities</t>
  </si>
  <si>
    <t>Net gains or losses on other assets</t>
  </si>
  <si>
    <t>PRE-TAX INCOME</t>
  </si>
  <si>
    <t>Net income tax</t>
  </si>
  <si>
    <t>Net income from discounted or held-for-sale operations</t>
  </si>
  <si>
    <t>NET INCOME</t>
  </si>
  <si>
    <t>NET INCOME GROUP SHARE (or owners of the parent company)</t>
  </si>
  <si>
    <t>16 034 126</t>
  </si>
  <si>
    <t>45 580 416</t>
  </si>
  <si>
    <t>10 838 647</t>
  </si>
  <si>
    <t>34 741 769</t>
  </si>
  <si>
    <t>Loans and advances to customers</t>
  </si>
  <si>
    <t>271 414 638</t>
  </si>
  <si>
    <t>74 741 053</t>
  </si>
  <si>
    <t>99 081 464</t>
  </si>
  <si>
    <t>70 351 774</t>
  </si>
  <si>
    <t>27 240 347</t>
  </si>
  <si>
    <t>Receivables acquired through factoring</t>
  </si>
  <si>
    <t>6 571 411</t>
  </si>
  <si>
    <t>Trading securities and available-for-sale securities</t>
  </si>
  <si>
    <t>82 726 290</t>
  </si>
  <si>
    <t>51 910 930</t>
  </si>
  <si>
    <t>12 782 055</t>
  </si>
  <si>
    <t>18 033 305</t>
  </si>
  <si>
    <t>Other assets</t>
  </si>
  <si>
    <t>6 752 655</t>
  </si>
  <si>
    <t>Investment securities</t>
  </si>
  <si>
    <t>16 281 241</t>
  </si>
  <si>
    <t>14 847 941</t>
  </si>
  <si>
    <t>1 433 300</t>
  </si>
  <si>
    <t>Investments in affiliates and other long-term investments</t>
  </si>
  <si>
    <t>30 292 869</t>
  </si>
  <si>
    <t>19 122 047</t>
  </si>
  <si>
    <t>11 170 822</t>
  </si>
  <si>
    <t>Subordinated loans</t>
  </si>
  <si>
    <t>688 654</t>
  </si>
  <si>
    <t>Fixed assets given in Ijara</t>
  </si>
  <si>
    <t>3 108 284</t>
  </si>
  <si>
    <t>Property, plant and equipement</t>
  </si>
  <si>
    <t>2 679 389</t>
  </si>
  <si>
    <t>482 129 974</t>
  </si>
  <si>
    <t>Amounts owing to credit institutions and similar establishments</t>
  </si>
  <si>
    <t>52 060 161</t>
  </si>
  <si>
    <t>4 434 671</t>
  </si>
  <si>
    <t>47 625 490</t>
  </si>
  <si>
    <t>Customer deposits</t>
  </si>
  <si>
    <t>334 753 563</t>
  </si>
  <si>
    <t>253 618 212</t>
  </si>
  <si>
    <t>32 585 873</t>
  </si>
  <si>
    <t>32 597 822</t>
  </si>
  <si>
    <t>15 951 656</t>
  </si>
  <si>
    <t>Debts to customers on participatory financing</t>
  </si>
  <si>
    <t>Debt securities issued</t>
  </si>
  <si>
    <t>7 466 699</t>
  </si>
  <si>
    <t>Other liabilities</t>
  </si>
  <si>
    <t>13 460 226</t>
  </si>
  <si>
    <t>General provisions</t>
  </si>
  <si>
    <t>5 660 666</t>
  </si>
  <si>
    <t>Regulated provisions</t>
  </si>
  <si>
    <t>93 375</t>
  </si>
  <si>
    <t>Subsidies, public funds and special guarantee funds</t>
  </si>
  <si>
    <t>Subordinated debt</t>
  </si>
  <si>
    <t>15 848 628</t>
  </si>
  <si>
    <t>Revaluation reserve</t>
  </si>
  <si>
    <t>Reserves and premiums related to share capital</t>
  </si>
  <si>
    <t>36 510 807</t>
  </si>
  <si>
    <t>Share capital</t>
  </si>
  <si>
    <t>2 151 408</t>
  </si>
  <si>
    <t>Shareholders, unpaid share capital (-)</t>
  </si>
  <si>
    <t>Retained earnings (+/-)</t>
  </si>
  <si>
    <t>7 587 226</t>
  </si>
  <si>
    <t>Net income to be allocated (+/-)</t>
  </si>
  <si>
    <t>6 536 794</t>
  </si>
  <si>
    <t>Net income for the financial year (+/-)</t>
  </si>
  <si>
    <t>NET INCOME FOR THE FINANCIAL YEAR</t>
  </si>
  <si>
    <t>Cash and balances with central banks, the treasury and post office accounts</t>
  </si>
  <si>
    <t>13 018 266</t>
  </si>
  <si>
    <t>Loans and advances to credit institutions and similar establishments</t>
  </si>
  <si>
    <t>49 223 502</t>
  </si>
  <si>
    <t>. Sight</t>
  </si>
  <si>
    <t>7 177 077</t>
  </si>
  <si>
    <t>. Term</t>
  </si>
  <si>
    <t>42 046 425</t>
  </si>
  <si>
    <t>274 850 988</t>
  </si>
  <si>
    <t>. Short-term &amp; consumer loans and participatory financing</t>
  </si>
  <si>
    <t>72 936 339</t>
  </si>
  <si>
    <t>. Equipment loans and participatory financing</t>
  </si>
  <si>
    <t>106 584 521</t>
  </si>
  <si>
    <t>. Mortgage loans and participatory financing</t>
  </si>
  <si>
    <t>71 469 426</t>
  </si>
  <si>
    <t>. Other loans and participatory financing</t>
  </si>
  <si>
    <t>23 860 702</t>
  </si>
  <si>
    <t>5 040 083</t>
  </si>
  <si>
    <t>84 655 225</t>
  </si>
  <si>
    <t>. Treasury bills and similar securities</t>
  </si>
  <si>
    <t>49 242 306</t>
  </si>
  <si>
    <t>. Other debt securities</t>
  </si>
  <si>
    <t>17 196 849</t>
  </si>
  <si>
    <t>. Fixed income Funds</t>
  </si>
  <si>
    <t>18 216 070</t>
  </si>
  <si>
    <t>. Sukuk Certificates</t>
  </si>
  <si>
    <t>7 852 602</t>
  </si>
  <si>
    <t>12 360 198</t>
  </si>
  <si>
    <t>11 062 429</t>
  </si>
  <si>
    <t>1 297 769</t>
  </si>
  <si>
    <t>29 877 500</t>
  </si>
  <si>
    <t>. Investments in affiliates companies</t>
  </si>
  <si>
    <t>18 806 452</t>
  </si>
  <si>
    <t>. Other and similar investments</t>
  </si>
  <si>
    <t>11 071 048</t>
  </si>
  <si>
    <t>. Moudaraba and mourabaha securities</t>
  </si>
  <si>
    <t>94 424</t>
  </si>
  <si>
    <t>Investment deposits given</t>
  </si>
  <si>
    <t>Leased and rented assets</t>
  </si>
  <si>
    <t>552 609</t>
  </si>
  <si>
    <t>3 113 548</t>
  </si>
  <si>
    <t>3 667 423</t>
  </si>
  <si>
    <t>Total Assets</t>
  </si>
  <si>
    <t>484 306 368</t>
  </si>
  <si>
    <t>Amounts owing to central banks, the treasury and post office accounts</t>
  </si>
  <si>
    <t>41 837 234</t>
  </si>
  <si>
    <t>9 758 416</t>
  </si>
  <si>
    <t>32 078 818</t>
  </si>
  <si>
    <t>343 000 572</t>
  </si>
  <si>
    <t>. Current accounts in credit</t>
  </si>
  <si>
    <t>266 028 821</t>
  </si>
  <si>
    <t>. Savings accounts</t>
  </si>
  <si>
    <t>33 084 179</t>
  </si>
  <si>
    <t>. Term deposits</t>
  </si>
  <si>
    <t>28 546 774</t>
  </si>
  <si>
    <t>. Other accounts in credit</t>
  </si>
  <si>
    <t>15 340 798</t>
  </si>
  <si>
    <t>5 951 345</t>
  </si>
  <si>
    <t>. Negociable debt securities</t>
  </si>
  <si>
    <t>. Bonds</t>
  </si>
  <si>
    <t>. Other debt securities issued</t>
  </si>
  <si>
    <t>17 456 394</t>
  </si>
  <si>
    <t>5 962 966</t>
  </si>
  <si>
    <t>77 813</t>
  </si>
  <si>
    <t>16 124 099</t>
  </si>
  <si>
    <t>Investment deposits received</t>
  </si>
  <si>
    <t>38 968 811</t>
  </si>
  <si>
    <t>5 188 079</t>
  </si>
  <si>
    <t>Total liabilities</t>
  </si>
  <si>
    <t>108 382</t>
  </si>
  <si>
    <t>72 120</t>
  </si>
  <si>
    <t>1 295 720</t>
  </si>
  <si>
    <t>122 693</t>
  </si>
  <si>
    <t>75 041</t>
  </si>
  <si>
    <t>11 220 551</t>
  </si>
  <si>
    <t>9 716 589</t>
  </si>
  <si>
    <t>42 953</t>
  </si>
  <si>
    <t>2 776 621</t>
  </si>
  <si>
    <t>2 600 904</t>
  </si>
  <si>
    <t>7 409 452</t>
  </si>
  <si>
    <t>6 091 177</t>
  </si>
  <si>
    <t>2 026 368</t>
  </si>
  <si>
    <t>1 749 058</t>
  </si>
  <si>
    <t>4 144 710</t>
  </si>
  <si>
    <t>27 640 162</t>
  </si>
  <si>
    <t>78 825 369</t>
  </si>
  <si>
    <t>77 876 679</t>
  </si>
  <si>
    <t>948 690</t>
  </si>
  <si>
    <t>Financial assets at fair value through other comprehensive income</t>
  </si>
  <si>
    <t>26 750 875</t>
  </si>
  <si>
    <t>Debt instruments at fair value through other comprehensive income (recycling)</t>
  </si>
  <si>
    <t>23 524 222</t>
  </si>
  <si>
    <t>Equity instruments at fair value through other comprehensive income (no recycling)</t>
  </si>
  <si>
    <t>3 226 653</t>
  </si>
  <si>
    <t>27 457 430</t>
  </si>
  <si>
    <t>48 583 769</t>
  </si>
  <si>
    <t>417 409 727</t>
  </si>
  <si>
    <t>55 402 809</t>
  </si>
  <si>
    <t>495 059</t>
  </si>
  <si>
    <t>Payable tax assets</t>
  </si>
  <si>
    <t>498 933</t>
  </si>
  <si>
    <t>6 326 014</t>
  </si>
  <si>
    <t>13 347 453</t>
  </si>
  <si>
    <t>73 130</t>
  </si>
  <si>
    <t>9 657 110</t>
  </si>
  <si>
    <t>1 985 015</t>
  </si>
  <si>
    <t>8 925 185</t>
  </si>
  <si>
    <t>4 131 657</t>
  </si>
  <si>
    <t>9 880 446</t>
  </si>
  <si>
    <t>737 390 143</t>
  </si>
  <si>
    <t>12 313</t>
  </si>
  <si>
    <t>Financial liabilities at fair value through profit or loss (FV&amp;PL)</t>
  </si>
  <si>
    <t>1 603 160</t>
  </si>
  <si>
    <t>52 864 268</t>
  </si>
  <si>
    <t>486 828 947</t>
  </si>
  <si>
    <t>16 432 629</t>
  </si>
  <si>
    <t>Payable tax liabilities</t>
  </si>
  <si>
    <t>2 487 898</t>
  </si>
  <si>
    <t>5 534 120</t>
  </si>
  <si>
    <t>26 521 102</t>
  </si>
  <si>
    <t>48 448 390</t>
  </si>
  <si>
    <t>3 852 368</t>
  </si>
  <si>
    <t>132 489</t>
  </si>
  <si>
    <t>17 842 054</t>
  </si>
  <si>
    <t>74 830 405</t>
  </si>
  <si>
    <t>14 655 001</t>
  </si>
  <si>
    <t>51 313 862</t>
  </si>
  <si>
    <t>43 275 728</t>
  </si>
  <si>
    <t>8 038 134</t>
  </si>
  <si>
    <t>1 960 630</t>
  </si>
  <si>
    <t>693 987</t>
  </si>
  <si>
    <t>1 266 643</t>
  </si>
  <si>
    <t>6 900 912</t>
  </si>
  <si>
    <t>5 878 666</t>
  </si>
  <si>
    <t>1 022 246</t>
  </si>
  <si>
    <t>15 271 670</t>
  </si>
  <si>
    <t>14 732 314</t>
  </si>
  <si>
    <t>-4 892 335</t>
  </si>
  <si>
    <t>-4 850 391</t>
  </si>
  <si>
    <t>NET INTEREST MARGIN</t>
  </si>
  <si>
    <t>10 379 335</t>
  </si>
  <si>
    <t>9 881 923</t>
  </si>
  <si>
    <t>3 864 357</t>
  </si>
  <si>
    <t>3 631 457</t>
  </si>
  <si>
    <t>-391 990</t>
  </si>
  <si>
    <t>-371 815</t>
  </si>
  <si>
    <t>NET FEE MARGIN</t>
  </si>
  <si>
    <t>3 472 367</t>
  </si>
  <si>
    <t>3 259 642</t>
  </si>
  <si>
    <t>2 847 026</t>
  </si>
  <si>
    <t>2 813 670</t>
  </si>
  <si>
    <t>2 832 843</t>
  </si>
  <si>
    <t>2 815 235</t>
  </si>
  <si>
    <t>14 183</t>
  </si>
  <si>
    <t>-1 565</t>
  </si>
  <si>
    <t>168 350</t>
  </si>
  <si>
    <t>258 864</t>
  </si>
  <si>
    <t>38 786</t>
  </si>
  <si>
    <t>57 836</t>
  </si>
  <si>
    <t>Remuneration of equity instruments measured at fair value through other comprehensive income</t>
  </si>
  <si>
    <t>that will not be reclassified subsequently to profit or loss (dividends)</t>
  </si>
  <si>
    <t>129 564</t>
  </si>
  <si>
    <t>201 028</t>
  </si>
  <si>
    <t>Net gains or losses on reclassified financial assets at fair value through comprehensive income</t>
  </si>
  <si>
    <t>to financial assets through profit or loss</t>
  </si>
  <si>
    <t>578 201</t>
  </si>
  <si>
    <t>503 564</t>
  </si>
  <si>
    <t>-923 810</t>
  </si>
  <si>
    <t>-793 587</t>
  </si>
  <si>
    <t>1 174 050</t>
  </si>
  <si>
    <t>1 098 464</t>
  </si>
  <si>
    <t>17 695 519</t>
  </si>
  <si>
    <t>17 022 540</t>
  </si>
  <si>
    <t>-5 555 468</t>
  </si>
  <si>
    <t>-5 329 472</t>
  </si>
  <si>
    <t>-695 664</t>
  </si>
  <si>
    <t>-710 831</t>
  </si>
  <si>
    <t>11 444 387</t>
  </si>
  <si>
    <t>10 982 237</t>
  </si>
  <si>
    <t>COST OF RISK</t>
  </si>
  <si>
    <t>-1 389 715</t>
  </si>
  <si>
    <t>-2 198 345</t>
  </si>
  <si>
    <t>10 054 672</t>
  </si>
  <si>
    <t>8 783 892</t>
  </si>
  <si>
    <t>230 518</t>
  </si>
  <si>
    <t>3 658</t>
  </si>
  <si>
    <t>34 600</t>
  </si>
  <si>
    <t>2 977</t>
  </si>
  <si>
    <t>Goodwill variation values</t>
  </si>
  <si>
    <t>10 319 790</t>
  </si>
  <si>
    <t>8 790 527</t>
  </si>
  <si>
    <t>-3 418 878</t>
  </si>
  <si>
    <t>-3 022 893</t>
  </si>
  <si>
    <t>5 767 634</t>
  </si>
  <si>
    <t>-1 022 246</t>
  </si>
  <si>
    <t>-862 031</t>
  </si>
  <si>
    <t>4 905 603</t>
  </si>
  <si>
    <t>Earnings per share (in MAD)</t>
  </si>
  <si>
    <t>27,32</t>
  </si>
  <si>
    <t>22,80</t>
  </si>
  <si>
    <t>Diluted earnings per share (in MAD)</t>
  </si>
  <si>
    <t>RESULTS ANALYSIS</t>
  </si>
  <si>
    <t>7 644 294</t>
  </si>
  <si>
    <t>7 298 200</t>
  </si>
  <si>
    <t>1 882 546</t>
  </si>
  <si>
    <t>2 125 331</t>
  </si>
  <si>
    <t>5 761 748</t>
  </si>
  <si>
    <t>5 172 869</t>
  </si>
  <si>
    <t>PARTICIPATORY FINANCING MARGIN</t>
  </si>
  <si>
    <t>NET INCOME FROM LEASING ACTIVITIES</t>
  </si>
  <si>
    <t>-14 311</t>
  </si>
  <si>
    <t>-2 921</t>
  </si>
  <si>
    <t>NET INCOME FROM IJARA ACTIVITIES</t>
  </si>
  <si>
    <t>1 464 149</t>
  </si>
  <si>
    <t>1 036</t>
  </si>
  <si>
    <t>NET FEE INCOME</t>
  </si>
  <si>
    <t>1 463 113</t>
  </si>
  <si>
    <t>1 294 803</t>
  </si>
  <si>
    <t>1 742 564</t>
  </si>
  <si>
    <t>1 654 792</t>
  </si>
  <si>
    <t>-4 748</t>
  </si>
  <si>
    <t>373 849</t>
  </si>
  <si>
    <t>885 528</t>
  </si>
  <si>
    <t>454 312</t>
  </si>
  <si>
    <t>-109 878</t>
  </si>
  <si>
    <t>INCOME FROM MARKET ACTIVITIES</t>
  </si>
  <si>
    <t>2 565 977</t>
  </si>
  <si>
    <t>2 430 618</t>
  </si>
  <si>
    <t>2 442 319</t>
  </si>
  <si>
    <t>1 691 185</t>
  </si>
  <si>
    <t>998 295</t>
  </si>
  <si>
    <t>869 963</t>
  </si>
  <si>
    <t>-446 247</t>
  </si>
  <si>
    <t>-232 810</t>
  </si>
  <si>
    <t>29 120</t>
  </si>
  <si>
    <t>8 040 637</t>
  </si>
  <si>
    <t>6 911 996</t>
  </si>
  <si>
    <t>-430 609</t>
  </si>
  <si>
    <t>-533 719</t>
  </si>
  <si>
    <t>-200 575</t>
  </si>
  <si>
    <t>-287 099</t>
  </si>
  <si>
    <t>NON OPERATING INCOME</t>
  </si>
  <si>
    <t>-195 005</t>
  </si>
  <si>
    <t>-197 408</t>
  </si>
  <si>
    <t>Results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</si>
</sst>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71"/>
  <sheetViews>
    <sheetView workbookViewId="0">
      <selection activeCell="D73" sqref="D73"/>
    </sheetView>
  </sheetViews>
  <sheetFormatPr defaultRowHeight="14.4" x14ac:dyDescent="0.3"/>
  <cols>
    <col min="1" max="1" width="57.109375" bestFit="1" customWidth="1"/>
  </cols>
  <sheetData>
    <row r="1" spans="1:1" x14ac:dyDescent="0.3">
      <c r="A1" t="s">
        <v>0</v>
      </c>
    </row>
    <row r="2" spans="1:1" x14ac:dyDescent="0.3">
      <c r="A2" s="1">
        <v>45838</v>
      </c>
    </row>
    <row r="3" spans="1:1" x14ac:dyDescent="0.3">
      <c r="A3" s="1">
        <v>45657</v>
      </c>
    </row>
    <row r="4" spans="1:1" x14ac:dyDescent="0.3">
      <c r="A4" t="s">
        <v>1</v>
      </c>
    </row>
    <row r="5" spans="1:1" x14ac:dyDescent="0.3">
      <c r="A5" t="s">
        <v>265</v>
      </c>
    </row>
    <row r="6" spans="1:1" x14ac:dyDescent="0.3">
      <c r="A6" t="s">
        <v>2</v>
      </c>
    </row>
    <row r="7" spans="1:1" x14ac:dyDescent="0.3">
      <c r="A7" t="s">
        <v>3</v>
      </c>
    </row>
    <row r="8" spans="1:1" x14ac:dyDescent="0.3">
      <c r="A8" t="s">
        <v>266</v>
      </c>
    </row>
    <row r="9" spans="1:1" x14ac:dyDescent="0.3">
      <c r="A9" t="s">
        <v>4</v>
      </c>
    </row>
    <row r="10" spans="1:1" x14ac:dyDescent="0.3">
      <c r="A10" t="s">
        <v>5</v>
      </c>
    </row>
    <row r="11" spans="1:1" x14ac:dyDescent="0.3">
      <c r="A11" t="s">
        <v>267</v>
      </c>
    </row>
    <row r="12" spans="1:1" x14ac:dyDescent="0.3">
      <c r="A12" t="s">
        <v>6</v>
      </c>
    </row>
    <row r="13" spans="1:1" x14ac:dyDescent="0.3">
      <c r="A13" t="s">
        <v>7</v>
      </c>
    </row>
    <row r="14" spans="1:1" x14ac:dyDescent="0.3">
      <c r="A14" t="s">
        <v>268</v>
      </c>
    </row>
    <row r="15" spans="1:1" x14ac:dyDescent="0.3">
      <c r="A15" t="s">
        <v>8</v>
      </c>
    </row>
    <row r="16" spans="1:1" x14ac:dyDescent="0.3">
      <c r="A16" t="s">
        <v>9</v>
      </c>
    </row>
    <row r="17" spans="1:1" x14ac:dyDescent="0.3">
      <c r="A17" t="s">
        <v>269</v>
      </c>
    </row>
    <row r="18" spans="1:1" x14ac:dyDescent="0.3">
      <c r="A18" t="s">
        <v>270</v>
      </c>
    </row>
    <row r="19" spans="1:1" x14ac:dyDescent="0.3">
      <c r="A19" t="s">
        <v>10</v>
      </c>
    </row>
    <row r="20" spans="1:1" x14ac:dyDescent="0.3">
      <c r="A20" t="s">
        <v>271</v>
      </c>
    </row>
    <row r="21" spans="1:1" x14ac:dyDescent="0.3">
      <c r="A21" t="s">
        <v>272</v>
      </c>
    </row>
    <row r="22" spans="1:1" x14ac:dyDescent="0.3">
      <c r="A22" t="s">
        <v>11</v>
      </c>
    </row>
    <row r="23" spans="1:1" x14ac:dyDescent="0.3">
      <c r="A23" t="s">
        <v>273</v>
      </c>
    </row>
    <row r="24" spans="1:1" x14ac:dyDescent="0.3">
      <c r="A24" t="s">
        <v>274</v>
      </c>
    </row>
    <row r="25" spans="1:1" x14ac:dyDescent="0.3">
      <c r="A25" t="s">
        <v>12</v>
      </c>
    </row>
    <row r="26" spans="1:1" x14ac:dyDescent="0.3">
      <c r="A26" t="s">
        <v>13</v>
      </c>
    </row>
    <row r="27" spans="1:1" x14ac:dyDescent="0.3">
      <c r="A27" t="s">
        <v>275</v>
      </c>
    </row>
    <row r="28" spans="1:1" x14ac:dyDescent="0.3">
      <c r="A28" t="s">
        <v>14</v>
      </c>
    </row>
    <row r="29" spans="1:1" x14ac:dyDescent="0.3">
      <c r="A29" t="s">
        <v>15</v>
      </c>
    </row>
    <row r="30" spans="1:1" x14ac:dyDescent="0.3">
      <c r="A30" t="s">
        <v>276</v>
      </c>
    </row>
    <row r="31" spans="1:1" x14ac:dyDescent="0.3">
      <c r="A31" t="s">
        <v>16</v>
      </c>
    </row>
    <row r="32" spans="1:1" x14ac:dyDescent="0.3">
      <c r="A32" t="s">
        <v>17</v>
      </c>
    </row>
    <row r="33" spans="1:1" x14ac:dyDescent="0.3">
      <c r="A33" t="s">
        <v>277</v>
      </c>
    </row>
    <row r="34" spans="1:1" x14ac:dyDescent="0.3">
      <c r="A34" t="s">
        <v>18</v>
      </c>
    </row>
    <row r="35" spans="1:1" x14ac:dyDescent="0.3">
      <c r="A35" t="s">
        <v>19</v>
      </c>
    </row>
    <row r="36" spans="1:1" x14ac:dyDescent="0.3">
      <c r="A36" t="s">
        <v>20</v>
      </c>
    </row>
    <row r="37" spans="1:1" x14ac:dyDescent="0.3">
      <c r="A37" t="s">
        <v>278</v>
      </c>
    </row>
    <row r="38" spans="1:1" x14ac:dyDescent="0.3">
      <c r="A38" t="s">
        <v>21</v>
      </c>
    </row>
    <row r="39" spans="1:1" x14ac:dyDescent="0.3">
      <c r="A39" t="s">
        <v>22</v>
      </c>
    </row>
    <row r="40" spans="1:1" x14ac:dyDescent="0.3">
      <c r="A40" t="s">
        <v>279</v>
      </c>
    </row>
    <row r="41" spans="1:1" x14ac:dyDescent="0.3">
      <c r="A41" t="s">
        <v>23</v>
      </c>
    </row>
    <row r="42" spans="1:1" x14ac:dyDescent="0.3">
      <c r="A42" t="s">
        <v>280</v>
      </c>
    </row>
    <row r="43" spans="1:1" x14ac:dyDescent="0.3">
      <c r="A43" t="s">
        <v>281</v>
      </c>
    </row>
    <row r="44" spans="1:1" x14ac:dyDescent="0.3">
      <c r="A44" t="s">
        <v>24</v>
      </c>
    </row>
    <row r="45" spans="1:1" x14ac:dyDescent="0.3">
      <c r="A45" t="s">
        <v>25</v>
      </c>
    </row>
    <row r="46" spans="1:1" x14ac:dyDescent="0.3">
      <c r="A46" t="s">
        <v>282</v>
      </c>
    </row>
    <row r="47" spans="1:1" x14ac:dyDescent="0.3">
      <c r="A47" t="s">
        <v>26</v>
      </c>
    </row>
    <row r="48" spans="1:1" x14ac:dyDescent="0.3">
      <c r="A48" t="s">
        <v>27</v>
      </c>
    </row>
    <row r="49" spans="1:1" x14ac:dyDescent="0.3">
      <c r="A49" t="s">
        <v>283</v>
      </c>
    </row>
    <row r="50" spans="1:1" x14ac:dyDescent="0.3">
      <c r="A50" t="s">
        <v>28</v>
      </c>
    </row>
    <row r="51" spans="1:1" x14ac:dyDescent="0.3">
      <c r="A51" t="s">
        <v>29</v>
      </c>
    </row>
    <row r="52" spans="1:1" x14ac:dyDescent="0.3">
      <c r="A52" t="s">
        <v>284</v>
      </c>
    </row>
    <row r="53" spans="1:1" x14ac:dyDescent="0.3">
      <c r="A53" t="s">
        <v>30</v>
      </c>
    </row>
    <row r="54" spans="1:1" x14ac:dyDescent="0.3">
      <c r="A54" t="s">
        <v>31</v>
      </c>
    </row>
    <row r="55" spans="1:1" x14ac:dyDescent="0.3">
      <c r="A55" t="s">
        <v>285</v>
      </c>
    </row>
    <row r="56" spans="1:1" x14ac:dyDescent="0.3">
      <c r="A56" t="s">
        <v>32</v>
      </c>
    </row>
    <row r="57" spans="1:1" x14ac:dyDescent="0.3">
      <c r="A57" t="s">
        <v>33</v>
      </c>
    </row>
    <row r="58" spans="1:1" x14ac:dyDescent="0.3">
      <c r="A58" t="s">
        <v>286</v>
      </c>
    </row>
    <row r="59" spans="1:1" x14ac:dyDescent="0.3">
      <c r="A59" t="s">
        <v>34</v>
      </c>
    </row>
    <row r="60" spans="1:1" x14ac:dyDescent="0.3">
      <c r="A60" t="s">
        <v>35</v>
      </c>
    </row>
    <row r="61" spans="1:1" x14ac:dyDescent="0.3">
      <c r="A61" t="s">
        <v>287</v>
      </c>
    </row>
    <row r="62" spans="1:1" x14ac:dyDescent="0.3">
      <c r="A62" t="s">
        <v>36</v>
      </c>
    </row>
    <row r="63" spans="1:1" x14ac:dyDescent="0.3">
      <c r="A63" t="s">
        <v>37</v>
      </c>
    </row>
    <row r="64" spans="1:1" x14ac:dyDescent="0.3">
      <c r="A64" t="s">
        <v>288</v>
      </c>
    </row>
    <row r="65" spans="1:1" x14ac:dyDescent="0.3">
      <c r="A65" t="s">
        <v>38</v>
      </c>
    </row>
    <row r="66" spans="1:1" x14ac:dyDescent="0.3">
      <c r="A66" t="s">
        <v>39</v>
      </c>
    </row>
    <row r="67" spans="1:1" x14ac:dyDescent="0.3">
      <c r="A67" t="s">
        <v>289</v>
      </c>
    </row>
    <row r="68" spans="1:1" x14ac:dyDescent="0.3">
      <c r="A68" t="s">
        <v>40</v>
      </c>
    </row>
    <row r="69" spans="1:1" x14ac:dyDescent="0.3">
      <c r="A69" t="s">
        <v>41</v>
      </c>
    </row>
    <row r="70" spans="1:1" x14ac:dyDescent="0.3">
      <c r="A70" t="s">
        <v>290</v>
      </c>
    </row>
    <row r="71" spans="1:1" x14ac:dyDescent="0.3">
      <c r="A71" t="s">
        <v>42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CB7D44-C805-43E6-B99B-C1CF61B06935}">
  <dimension ref="A1:A82"/>
  <sheetViews>
    <sheetView workbookViewId="0">
      <selection activeCell="B38" sqref="B38"/>
    </sheetView>
  </sheetViews>
  <sheetFormatPr defaultRowHeight="14.4" x14ac:dyDescent="0.3"/>
  <cols>
    <col min="1" max="1" width="56.33203125" bestFit="1" customWidth="1"/>
  </cols>
  <sheetData>
    <row r="1" spans="1:1" x14ac:dyDescent="0.3">
      <c r="A1" t="s">
        <v>43</v>
      </c>
    </row>
    <row r="2" spans="1:1" x14ac:dyDescent="0.3">
      <c r="A2" s="1">
        <v>45838</v>
      </c>
    </row>
    <row r="3" spans="1:1" x14ac:dyDescent="0.3">
      <c r="A3" s="1">
        <v>45657</v>
      </c>
    </row>
    <row r="4" spans="1:1" x14ac:dyDescent="0.3">
      <c r="A4" t="s">
        <v>44</v>
      </c>
    </row>
    <row r="5" spans="1:1" x14ac:dyDescent="0.3">
      <c r="A5" t="s">
        <v>291</v>
      </c>
    </row>
    <row r="6" spans="1:1" x14ac:dyDescent="0.3">
      <c r="A6">
        <v>92</v>
      </c>
    </row>
    <row r="7" spans="1:1" x14ac:dyDescent="0.3">
      <c r="A7" t="s">
        <v>292</v>
      </c>
    </row>
    <row r="8" spans="1:1" x14ac:dyDescent="0.3">
      <c r="A8" t="s">
        <v>293</v>
      </c>
    </row>
    <row r="9" spans="1:1" x14ac:dyDescent="0.3">
      <c r="A9" t="s">
        <v>45</v>
      </c>
    </row>
    <row r="10" spans="1:1" x14ac:dyDescent="0.3">
      <c r="A10" t="s">
        <v>46</v>
      </c>
    </row>
    <row r="11" spans="1:1" x14ac:dyDescent="0.3">
      <c r="A11" t="s">
        <v>293</v>
      </c>
    </row>
    <row r="12" spans="1:1" x14ac:dyDescent="0.3">
      <c r="A12" t="s">
        <v>45</v>
      </c>
    </row>
    <row r="13" spans="1:1" x14ac:dyDescent="0.3">
      <c r="A13" t="s">
        <v>47</v>
      </c>
    </row>
    <row r="14" spans="1:1" x14ac:dyDescent="0.3">
      <c r="A14" t="s">
        <v>9</v>
      </c>
    </row>
    <row r="15" spans="1:1" x14ac:dyDescent="0.3">
      <c r="A15" t="s">
        <v>48</v>
      </c>
    </row>
    <row r="16" spans="1:1" x14ac:dyDescent="0.3">
      <c r="A16" t="s">
        <v>294</v>
      </c>
    </row>
    <row r="17" spans="1:1" x14ac:dyDescent="0.3">
      <c r="A17" t="s">
        <v>49</v>
      </c>
    </row>
    <row r="18" spans="1:1" x14ac:dyDescent="0.3">
      <c r="A18" t="s">
        <v>50</v>
      </c>
    </row>
    <row r="19" spans="1:1" x14ac:dyDescent="0.3">
      <c r="A19" t="s">
        <v>295</v>
      </c>
    </row>
    <row r="20" spans="1:1" x14ac:dyDescent="0.3">
      <c r="A20" t="s">
        <v>51</v>
      </c>
    </row>
    <row r="21" spans="1:1" x14ac:dyDescent="0.3">
      <c r="A21" t="s">
        <v>52</v>
      </c>
    </row>
    <row r="22" spans="1:1" x14ac:dyDescent="0.3">
      <c r="A22" t="s">
        <v>296</v>
      </c>
    </row>
    <row r="23" spans="1:1" x14ac:dyDescent="0.3">
      <c r="A23" t="s">
        <v>53</v>
      </c>
    </row>
    <row r="24" spans="1:1" x14ac:dyDescent="0.3">
      <c r="A24" t="s">
        <v>19</v>
      </c>
    </row>
    <row r="25" spans="1:1" x14ac:dyDescent="0.3">
      <c r="A25" t="s">
        <v>297</v>
      </c>
    </row>
    <row r="26" spans="1:1" x14ac:dyDescent="0.3">
      <c r="A26" t="s">
        <v>298</v>
      </c>
    </row>
    <row r="27" spans="1:1" x14ac:dyDescent="0.3">
      <c r="A27" t="s">
        <v>54</v>
      </c>
    </row>
    <row r="28" spans="1:1" x14ac:dyDescent="0.3">
      <c r="A28" t="s">
        <v>55</v>
      </c>
    </row>
    <row r="29" spans="1:1" x14ac:dyDescent="0.3">
      <c r="A29" t="s">
        <v>299</v>
      </c>
    </row>
    <row r="30" spans="1:1" x14ac:dyDescent="0.3">
      <c r="A30" t="s">
        <v>56</v>
      </c>
    </row>
    <row r="31" spans="1:1" x14ac:dyDescent="0.3">
      <c r="A31" t="s">
        <v>57</v>
      </c>
    </row>
    <row r="32" spans="1:1" x14ac:dyDescent="0.3">
      <c r="A32" t="s">
        <v>300</v>
      </c>
    </row>
    <row r="33" spans="1:1" x14ac:dyDescent="0.3">
      <c r="A33" t="s">
        <v>58</v>
      </c>
    </row>
    <row r="34" spans="1:1" x14ac:dyDescent="0.3">
      <c r="A34" t="s">
        <v>59</v>
      </c>
    </row>
    <row r="35" spans="1:1" x14ac:dyDescent="0.3">
      <c r="A35" t="s">
        <v>60</v>
      </c>
    </row>
    <row r="36" spans="1:1" x14ac:dyDescent="0.3">
      <c r="A36" t="s">
        <v>301</v>
      </c>
    </row>
    <row r="37" spans="1:1" x14ac:dyDescent="0.3">
      <c r="A37" t="s">
        <v>61</v>
      </c>
    </row>
    <row r="38" spans="1:1" x14ac:dyDescent="0.3">
      <c r="A38" t="s">
        <v>62</v>
      </c>
    </row>
    <row r="39" spans="1:1" x14ac:dyDescent="0.3">
      <c r="A39" t="s">
        <v>302</v>
      </c>
    </row>
    <row r="40" spans="1:1" x14ac:dyDescent="0.3">
      <c r="A40" t="s">
        <v>63</v>
      </c>
    </row>
    <row r="41" spans="1:1" x14ac:dyDescent="0.3">
      <c r="A41" t="s">
        <v>64</v>
      </c>
    </row>
    <row r="42" spans="1:1" x14ac:dyDescent="0.3">
      <c r="A42" t="s">
        <v>303</v>
      </c>
    </row>
    <row r="43" spans="1:1" x14ac:dyDescent="0.3">
      <c r="A43" t="s">
        <v>65</v>
      </c>
    </row>
    <row r="44" spans="1:1" x14ac:dyDescent="0.3">
      <c r="A44" t="s">
        <v>66</v>
      </c>
    </row>
    <row r="45" spans="1:1" x14ac:dyDescent="0.3">
      <c r="A45" t="s">
        <v>304</v>
      </c>
    </row>
    <row r="46" spans="1:1" x14ac:dyDescent="0.3">
      <c r="A46" t="s">
        <v>67</v>
      </c>
    </row>
    <row r="47" spans="1:1" x14ac:dyDescent="0.3">
      <c r="A47" t="s">
        <v>68</v>
      </c>
    </row>
    <row r="48" spans="1:1" x14ac:dyDescent="0.3">
      <c r="A48" t="s">
        <v>305</v>
      </c>
    </row>
    <row r="49" spans="1:1" x14ac:dyDescent="0.3">
      <c r="A49" t="s">
        <v>69</v>
      </c>
    </row>
    <row r="50" spans="1:1" x14ac:dyDescent="0.3">
      <c r="A50" t="s">
        <v>70</v>
      </c>
    </row>
    <row r="51" spans="1:1" x14ac:dyDescent="0.3">
      <c r="A51" t="s">
        <v>306</v>
      </c>
    </row>
    <row r="52" spans="1:1" x14ac:dyDescent="0.3">
      <c r="A52" t="s">
        <v>71</v>
      </c>
    </row>
    <row r="53" spans="1:1" x14ac:dyDescent="0.3">
      <c r="A53" t="s">
        <v>72</v>
      </c>
    </row>
    <row r="54" spans="1:1" x14ac:dyDescent="0.3">
      <c r="A54" t="s">
        <v>307</v>
      </c>
    </row>
    <row r="55" spans="1:1" x14ac:dyDescent="0.3">
      <c r="A55" t="s">
        <v>73</v>
      </c>
    </row>
    <row r="56" spans="1:1" x14ac:dyDescent="0.3">
      <c r="A56" t="s">
        <v>74</v>
      </c>
    </row>
    <row r="57" spans="1:1" x14ac:dyDescent="0.3">
      <c r="A57" t="s">
        <v>308</v>
      </c>
    </row>
    <row r="58" spans="1:1" x14ac:dyDescent="0.3">
      <c r="A58" t="s">
        <v>75</v>
      </c>
    </row>
    <row r="59" spans="1:1" x14ac:dyDescent="0.3">
      <c r="A59" t="s">
        <v>76</v>
      </c>
    </row>
    <row r="60" spans="1:1" x14ac:dyDescent="0.3">
      <c r="A60" t="s">
        <v>309</v>
      </c>
    </row>
    <row r="61" spans="1:1" x14ac:dyDescent="0.3">
      <c r="A61" t="s">
        <v>77</v>
      </c>
    </row>
    <row r="62" spans="1:1" x14ac:dyDescent="0.3">
      <c r="A62" t="s">
        <v>78</v>
      </c>
    </row>
    <row r="63" spans="1:1" x14ac:dyDescent="0.3">
      <c r="A63" t="s">
        <v>310</v>
      </c>
    </row>
    <row r="64" spans="1:1" x14ac:dyDescent="0.3">
      <c r="A64" t="s">
        <v>79</v>
      </c>
    </row>
    <row r="65" spans="1:1" x14ac:dyDescent="0.3">
      <c r="A65" t="s">
        <v>74</v>
      </c>
    </row>
    <row r="66" spans="1:1" x14ac:dyDescent="0.3">
      <c r="A66" t="s">
        <v>311</v>
      </c>
    </row>
    <row r="67" spans="1:1" x14ac:dyDescent="0.3">
      <c r="A67" t="s">
        <v>80</v>
      </c>
    </row>
    <row r="68" spans="1:1" x14ac:dyDescent="0.3">
      <c r="A68" t="s">
        <v>76</v>
      </c>
    </row>
    <row r="69" spans="1:1" x14ac:dyDescent="0.3">
      <c r="A69" t="s">
        <v>312</v>
      </c>
    </row>
    <row r="70" spans="1:1" x14ac:dyDescent="0.3">
      <c r="A70" t="s">
        <v>81</v>
      </c>
    </row>
    <row r="71" spans="1:1" x14ac:dyDescent="0.3">
      <c r="A71" t="s">
        <v>82</v>
      </c>
    </row>
    <row r="72" spans="1:1" x14ac:dyDescent="0.3">
      <c r="A72" t="s">
        <v>313</v>
      </c>
    </row>
    <row r="73" spans="1:1" x14ac:dyDescent="0.3">
      <c r="A73" t="s">
        <v>83</v>
      </c>
    </row>
    <row r="74" spans="1:1" x14ac:dyDescent="0.3">
      <c r="A74" t="s">
        <v>74</v>
      </c>
    </row>
    <row r="75" spans="1:1" x14ac:dyDescent="0.3">
      <c r="A75" t="s">
        <v>314</v>
      </c>
    </row>
    <row r="76" spans="1:1" x14ac:dyDescent="0.3">
      <c r="A76" t="s">
        <v>84</v>
      </c>
    </row>
    <row r="77" spans="1:1" x14ac:dyDescent="0.3">
      <c r="A77" t="s">
        <v>76</v>
      </c>
    </row>
    <row r="78" spans="1:1" x14ac:dyDescent="0.3">
      <c r="A78" t="s">
        <v>315</v>
      </c>
    </row>
    <row r="79" spans="1:1" x14ac:dyDescent="0.3">
      <c r="A79" t="s">
        <v>85</v>
      </c>
    </row>
    <row r="80" spans="1:1" x14ac:dyDescent="0.3">
      <c r="A80" t="s">
        <v>86</v>
      </c>
    </row>
    <row r="81" spans="1:1" x14ac:dyDescent="0.3">
      <c r="A81" t="s">
        <v>290</v>
      </c>
    </row>
    <row r="82" spans="1:1" x14ac:dyDescent="0.3">
      <c r="A82" t="s">
        <v>42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5472D-FD9E-4BC0-81CA-CD487ED41F83}">
  <dimension ref="A1:A100"/>
  <sheetViews>
    <sheetView workbookViewId="0">
      <selection activeCell="B5" sqref="B5"/>
    </sheetView>
  </sheetViews>
  <sheetFormatPr defaultRowHeight="14.4" x14ac:dyDescent="0.3"/>
  <cols>
    <col min="1" max="1" width="115.6640625" bestFit="1" customWidth="1"/>
  </cols>
  <sheetData>
    <row r="1" spans="1:1" x14ac:dyDescent="0.3">
      <c r="A1" s="1" t="s">
        <v>425</v>
      </c>
    </row>
    <row r="2" spans="1:1" x14ac:dyDescent="0.3">
      <c r="A2" s="1">
        <v>45838</v>
      </c>
    </row>
    <row r="3" spans="1:1" x14ac:dyDescent="0.3">
      <c r="A3" s="1">
        <v>45473</v>
      </c>
    </row>
    <row r="4" spans="1:1" x14ac:dyDescent="0.3">
      <c r="A4" t="s">
        <v>87</v>
      </c>
    </row>
    <row r="5" spans="1:1" x14ac:dyDescent="0.3">
      <c r="A5" t="s">
        <v>316</v>
      </c>
    </row>
    <row r="6" spans="1:1" x14ac:dyDescent="0.3">
      <c r="A6" t="s">
        <v>317</v>
      </c>
    </row>
    <row r="7" spans="1:1" x14ac:dyDescent="0.3">
      <c r="A7" t="s">
        <v>88</v>
      </c>
    </row>
    <row r="8" spans="1:1" x14ac:dyDescent="0.3">
      <c r="A8" t="s">
        <v>318</v>
      </c>
    </row>
    <row r="9" spans="1:1" x14ac:dyDescent="0.3">
      <c r="A9" t="s">
        <v>319</v>
      </c>
    </row>
    <row r="10" spans="1:1" x14ac:dyDescent="0.3">
      <c r="A10" t="s">
        <v>320</v>
      </c>
    </row>
    <row r="11" spans="1:1" x14ac:dyDescent="0.3">
      <c r="A11" t="s">
        <v>321</v>
      </c>
    </row>
    <row r="12" spans="1:1" x14ac:dyDescent="0.3">
      <c r="A12" t="s">
        <v>322</v>
      </c>
    </row>
    <row r="13" spans="1:1" x14ac:dyDescent="0.3">
      <c r="A13" t="s">
        <v>89</v>
      </c>
    </row>
    <row r="14" spans="1:1" x14ac:dyDescent="0.3">
      <c r="A14" t="s">
        <v>323</v>
      </c>
    </row>
    <row r="15" spans="1:1" x14ac:dyDescent="0.3">
      <c r="A15" t="s">
        <v>324</v>
      </c>
    </row>
    <row r="16" spans="1:1" x14ac:dyDescent="0.3">
      <c r="A16" t="s">
        <v>90</v>
      </c>
    </row>
    <row r="17" spans="1:1" x14ac:dyDescent="0.3">
      <c r="A17" t="s">
        <v>325</v>
      </c>
    </row>
    <row r="18" spans="1:1" x14ac:dyDescent="0.3">
      <c r="A18" t="s">
        <v>326</v>
      </c>
    </row>
    <row r="19" spans="1:1" x14ac:dyDescent="0.3">
      <c r="A19" t="s">
        <v>327</v>
      </c>
    </row>
    <row r="20" spans="1:1" x14ac:dyDescent="0.3">
      <c r="A20" t="s">
        <v>328</v>
      </c>
    </row>
    <row r="21" spans="1:1" x14ac:dyDescent="0.3">
      <c r="A21" t="s">
        <v>329</v>
      </c>
    </row>
    <row r="22" spans="1:1" x14ac:dyDescent="0.3">
      <c r="A22" t="s">
        <v>91</v>
      </c>
    </row>
    <row r="23" spans="1:1" x14ac:dyDescent="0.3">
      <c r="A23" t="s">
        <v>92</v>
      </c>
    </row>
    <row r="24" spans="1:1" x14ac:dyDescent="0.3">
      <c r="A24" t="s">
        <v>330</v>
      </c>
    </row>
    <row r="25" spans="1:1" x14ac:dyDescent="0.3">
      <c r="A25" t="s">
        <v>331</v>
      </c>
    </row>
    <row r="26" spans="1:1" x14ac:dyDescent="0.3">
      <c r="A26" t="s">
        <v>93</v>
      </c>
    </row>
    <row r="27" spans="1:1" x14ac:dyDescent="0.3">
      <c r="A27" t="s">
        <v>332</v>
      </c>
    </row>
    <row r="28" spans="1:1" x14ac:dyDescent="0.3">
      <c r="A28" t="s">
        <v>333</v>
      </c>
    </row>
    <row r="29" spans="1:1" x14ac:dyDescent="0.3">
      <c r="A29" t="s">
        <v>94</v>
      </c>
    </row>
    <row r="30" spans="1:1" x14ac:dyDescent="0.3">
      <c r="A30" t="s">
        <v>334</v>
      </c>
    </row>
    <row r="31" spans="1:1" x14ac:dyDescent="0.3">
      <c r="A31" t="s">
        <v>335</v>
      </c>
    </row>
    <row r="32" spans="1:1" x14ac:dyDescent="0.3">
      <c r="A32" t="s">
        <v>95</v>
      </c>
    </row>
    <row r="33" spans="1:1" x14ac:dyDescent="0.3">
      <c r="A33" t="s">
        <v>336</v>
      </c>
    </row>
    <row r="34" spans="1:1" x14ac:dyDescent="0.3">
      <c r="A34" t="s">
        <v>337</v>
      </c>
    </row>
    <row r="35" spans="1:1" x14ac:dyDescent="0.3">
      <c r="A35" t="s">
        <v>96</v>
      </c>
    </row>
    <row r="36" spans="1:1" x14ac:dyDescent="0.3">
      <c r="A36" t="s">
        <v>338</v>
      </c>
    </row>
    <row r="37" spans="1:1" x14ac:dyDescent="0.3">
      <c r="A37" t="s">
        <v>339</v>
      </c>
    </row>
    <row r="38" spans="1:1" x14ac:dyDescent="0.3">
      <c r="A38" t="s">
        <v>340</v>
      </c>
    </row>
    <row r="39" spans="1:1" x14ac:dyDescent="0.3">
      <c r="A39" t="s">
        <v>341</v>
      </c>
    </row>
    <row r="40" spans="1:1" x14ac:dyDescent="0.3">
      <c r="A40" t="s">
        <v>342</v>
      </c>
    </row>
    <row r="41" spans="1:1" x14ac:dyDescent="0.3">
      <c r="A41" t="s">
        <v>343</v>
      </c>
    </row>
    <row r="42" spans="1:1" x14ac:dyDescent="0.3">
      <c r="A42" t="s">
        <v>97</v>
      </c>
    </row>
    <row r="43" spans="1:1" x14ac:dyDescent="0.3">
      <c r="A43" t="s">
        <v>344</v>
      </c>
    </row>
    <row r="44" spans="1:1" x14ac:dyDescent="0.3">
      <c r="A44" t="s">
        <v>345</v>
      </c>
    </row>
    <row r="45" spans="1:1" x14ac:dyDescent="0.3">
      <c r="A45" t="s">
        <v>98</v>
      </c>
    </row>
    <row r="46" spans="1:1" x14ac:dyDescent="0.3">
      <c r="A46" t="s">
        <v>346</v>
      </c>
    </row>
    <row r="47" spans="1:1" x14ac:dyDescent="0.3">
      <c r="A47" t="s">
        <v>347</v>
      </c>
    </row>
    <row r="48" spans="1:1" x14ac:dyDescent="0.3">
      <c r="A48" t="s">
        <v>99</v>
      </c>
    </row>
    <row r="49" spans="1:1" x14ac:dyDescent="0.3">
      <c r="A49" t="s">
        <v>348</v>
      </c>
    </row>
    <row r="50" spans="1:1" x14ac:dyDescent="0.3">
      <c r="A50" t="s">
        <v>349</v>
      </c>
    </row>
    <row r="51" spans="1:1" x14ac:dyDescent="0.3">
      <c r="A51" t="s">
        <v>100</v>
      </c>
    </row>
    <row r="52" spans="1:1" x14ac:dyDescent="0.3">
      <c r="A52" t="s">
        <v>350</v>
      </c>
    </row>
    <row r="53" spans="1:1" x14ac:dyDescent="0.3">
      <c r="A53" t="s">
        <v>351</v>
      </c>
    </row>
    <row r="54" spans="1:1" x14ac:dyDescent="0.3">
      <c r="A54" t="s">
        <v>101</v>
      </c>
    </row>
    <row r="55" spans="1:1" x14ac:dyDescent="0.3">
      <c r="A55" t="s">
        <v>352</v>
      </c>
    </row>
    <row r="56" spans="1:1" x14ac:dyDescent="0.3">
      <c r="A56" t="s">
        <v>353</v>
      </c>
    </row>
    <row r="57" spans="1:1" x14ac:dyDescent="0.3">
      <c r="A57" t="s">
        <v>102</v>
      </c>
    </row>
    <row r="58" spans="1:1" x14ac:dyDescent="0.3">
      <c r="A58" t="s">
        <v>354</v>
      </c>
    </row>
    <row r="59" spans="1:1" x14ac:dyDescent="0.3">
      <c r="A59" t="s">
        <v>355</v>
      </c>
    </row>
    <row r="60" spans="1:1" x14ac:dyDescent="0.3">
      <c r="A60" t="s">
        <v>103</v>
      </c>
    </row>
    <row r="61" spans="1:1" x14ac:dyDescent="0.3">
      <c r="A61" t="s">
        <v>356</v>
      </c>
    </row>
    <row r="62" spans="1:1" x14ac:dyDescent="0.3">
      <c r="A62" t="s">
        <v>357</v>
      </c>
    </row>
    <row r="63" spans="1:1" x14ac:dyDescent="0.3">
      <c r="A63" t="s">
        <v>104</v>
      </c>
    </row>
    <row r="64" spans="1:1" x14ac:dyDescent="0.3">
      <c r="A64" t="s">
        <v>358</v>
      </c>
    </row>
    <row r="65" spans="1:1" x14ac:dyDescent="0.3">
      <c r="A65" t="s">
        <v>359</v>
      </c>
    </row>
    <row r="66" spans="1:1" x14ac:dyDescent="0.3">
      <c r="A66" t="s">
        <v>360</v>
      </c>
    </row>
    <row r="67" spans="1:1" x14ac:dyDescent="0.3">
      <c r="A67" t="s">
        <v>361</v>
      </c>
    </row>
    <row r="68" spans="1:1" x14ac:dyDescent="0.3">
      <c r="A68" t="s">
        <v>362</v>
      </c>
    </row>
    <row r="69" spans="1:1" x14ac:dyDescent="0.3">
      <c r="A69" t="s">
        <v>105</v>
      </c>
    </row>
    <row r="70" spans="1:1" x14ac:dyDescent="0.3">
      <c r="A70" t="s">
        <v>363</v>
      </c>
    </row>
    <row r="71" spans="1:1" x14ac:dyDescent="0.3">
      <c r="A71" t="s">
        <v>364</v>
      </c>
    </row>
    <row r="72" spans="1:1" x14ac:dyDescent="0.3">
      <c r="A72" t="s">
        <v>106</v>
      </c>
    </row>
    <row r="73" spans="1:1" x14ac:dyDescent="0.3">
      <c r="A73" t="s">
        <v>365</v>
      </c>
    </row>
    <row r="74" spans="1:1" x14ac:dyDescent="0.3">
      <c r="A74" t="s">
        <v>366</v>
      </c>
    </row>
    <row r="75" spans="1:1" x14ac:dyDescent="0.3">
      <c r="A75" t="s">
        <v>107</v>
      </c>
    </row>
    <row r="76" spans="1:1" x14ac:dyDescent="0.3">
      <c r="A76" t="s">
        <v>367</v>
      </c>
    </row>
    <row r="77" spans="1:1" x14ac:dyDescent="0.3">
      <c r="A77" t="s">
        <v>368</v>
      </c>
    </row>
    <row r="78" spans="1:1" x14ac:dyDescent="0.3">
      <c r="A78" t="s">
        <v>369</v>
      </c>
    </row>
    <row r="79" spans="1:1" x14ac:dyDescent="0.3">
      <c r="A79" t="s">
        <v>108</v>
      </c>
    </row>
    <row r="80" spans="1:1" x14ac:dyDescent="0.3">
      <c r="A80" t="s">
        <v>370</v>
      </c>
    </row>
    <row r="81" spans="1:1" x14ac:dyDescent="0.3">
      <c r="A81" t="s">
        <v>371</v>
      </c>
    </row>
    <row r="82" spans="1:1" x14ac:dyDescent="0.3">
      <c r="A82" t="s">
        <v>109</v>
      </c>
    </row>
    <row r="83" spans="1:1" x14ac:dyDescent="0.3">
      <c r="A83" t="s">
        <v>372</v>
      </c>
    </row>
    <row r="84" spans="1:1" x14ac:dyDescent="0.3">
      <c r="A84" t="s">
        <v>373</v>
      </c>
    </row>
    <row r="85" spans="1:1" x14ac:dyDescent="0.3">
      <c r="A85" t="s">
        <v>110</v>
      </c>
    </row>
    <row r="86" spans="1:1" x14ac:dyDescent="0.3">
      <c r="A86" t="s">
        <v>111</v>
      </c>
    </row>
    <row r="87" spans="1:1" x14ac:dyDescent="0.3">
      <c r="A87" t="s">
        <v>313</v>
      </c>
    </row>
    <row r="88" spans="1:1" x14ac:dyDescent="0.3">
      <c r="A88" t="s">
        <v>374</v>
      </c>
    </row>
    <row r="89" spans="1:1" x14ac:dyDescent="0.3">
      <c r="A89" t="s">
        <v>76</v>
      </c>
    </row>
    <row r="90" spans="1:1" x14ac:dyDescent="0.3">
      <c r="A90" t="s">
        <v>375</v>
      </c>
    </row>
    <row r="91" spans="1:1" x14ac:dyDescent="0.3">
      <c r="A91" t="s">
        <v>376</v>
      </c>
    </row>
    <row r="92" spans="1:1" x14ac:dyDescent="0.3">
      <c r="A92" t="s">
        <v>112</v>
      </c>
    </row>
    <row r="93" spans="1:1" x14ac:dyDescent="0.3">
      <c r="A93" t="s">
        <v>314</v>
      </c>
    </row>
    <row r="94" spans="1:1" x14ac:dyDescent="0.3">
      <c r="A94" t="s">
        <v>377</v>
      </c>
    </row>
    <row r="95" spans="1:1" x14ac:dyDescent="0.3">
      <c r="A95" t="s">
        <v>378</v>
      </c>
    </row>
    <row r="96" spans="1:1" x14ac:dyDescent="0.3">
      <c r="A96" t="s">
        <v>379</v>
      </c>
    </row>
    <row r="97" spans="1:1" x14ac:dyDescent="0.3">
      <c r="A97" t="s">
        <v>380</v>
      </c>
    </row>
    <row r="98" spans="1:1" x14ac:dyDescent="0.3">
      <c r="A98" t="s">
        <v>381</v>
      </c>
    </row>
    <row r="99" spans="1:1" x14ac:dyDescent="0.3">
      <c r="A99" t="s">
        <v>379</v>
      </c>
    </row>
    <row r="100" spans="1:1" x14ac:dyDescent="0.3">
      <c r="A100" t="s">
        <v>380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A39D1-6BEC-40D6-9F87-923FBE6F19EE}">
  <dimension ref="A1:A85"/>
  <sheetViews>
    <sheetView topLeftCell="A69" workbookViewId="0">
      <selection activeCell="C98" sqref="C98"/>
    </sheetView>
  </sheetViews>
  <sheetFormatPr defaultRowHeight="14.4" x14ac:dyDescent="0.3"/>
  <cols>
    <col min="1" max="1" width="50.33203125" bestFit="1" customWidth="1"/>
  </cols>
  <sheetData>
    <row r="1" spans="1:1" x14ac:dyDescent="0.3">
      <c r="A1" t="s">
        <v>0</v>
      </c>
    </row>
    <row r="2" spans="1:1" x14ac:dyDescent="0.3">
      <c r="A2" s="1">
        <v>45838</v>
      </c>
    </row>
    <row r="3" spans="1:1" x14ac:dyDescent="0.3">
      <c r="A3" s="1">
        <v>45657</v>
      </c>
    </row>
    <row r="4" spans="1:1" x14ac:dyDescent="0.3">
      <c r="A4" t="s">
        <v>181</v>
      </c>
    </row>
    <row r="5" spans="1:1" x14ac:dyDescent="0.3">
      <c r="A5" t="s">
        <v>182</v>
      </c>
    </row>
    <row r="6" spans="1:1" x14ac:dyDescent="0.3">
      <c r="A6" t="s">
        <v>113</v>
      </c>
    </row>
    <row r="7" spans="1:1" x14ac:dyDescent="0.3">
      <c r="A7" t="s">
        <v>183</v>
      </c>
    </row>
    <row r="8" spans="1:1" x14ac:dyDescent="0.3">
      <c r="A8" t="s">
        <v>184</v>
      </c>
    </row>
    <row r="9" spans="1:1" x14ac:dyDescent="0.3">
      <c r="A9" t="s">
        <v>114</v>
      </c>
    </row>
    <row r="10" spans="1:1" x14ac:dyDescent="0.3">
      <c r="A10" t="s">
        <v>185</v>
      </c>
    </row>
    <row r="11" spans="1:1" x14ac:dyDescent="0.3">
      <c r="A11" t="s">
        <v>186</v>
      </c>
    </row>
    <row r="12" spans="1:1" x14ac:dyDescent="0.3">
      <c r="A12" t="s">
        <v>115</v>
      </c>
    </row>
    <row r="13" spans="1:1" x14ac:dyDescent="0.3">
      <c r="A13" t="s">
        <v>187</v>
      </c>
    </row>
    <row r="14" spans="1:1" x14ac:dyDescent="0.3">
      <c r="A14" t="s">
        <v>188</v>
      </c>
    </row>
    <row r="15" spans="1:1" x14ac:dyDescent="0.3">
      <c r="A15" t="s">
        <v>116</v>
      </c>
    </row>
    <row r="16" spans="1:1" x14ac:dyDescent="0.3">
      <c r="A16" t="s">
        <v>117</v>
      </c>
    </row>
    <row r="17" spans="1:1" x14ac:dyDescent="0.3">
      <c r="A17" t="s">
        <v>189</v>
      </c>
    </row>
    <row r="18" spans="1:1" x14ac:dyDescent="0.3">
      <c r="A18" t="s">
        <v>118</v>
      </c>
    </row>
    <row r="19" spans="1:1" x14ac:dyDescent="0.3">
      <c r="A19" t="s">
        <v>190</v>
      </c>
    </row>
    <row r="20" spans="1:1" x14ac:dyDescent="0.3">
      <c r="A20" t="s">
        <v>191</v>
      </c>
    </row>
    <row r="21" spans="1:1" x14ac:dyDescent="0.3">
      <c r="A21" t="s">
        <v>119</v>
      </c>
    </row>
    <row r="22" spans="1:1" x14ac:dyDescent="0.3">
      <c r="A22" t="s">
        <v>192</v>
      </c>
    </row>
    <row r="23" spans="1:1" x14ac:dyDescent="0.3">
      <c r="A23" t="s">
        <v>193</v>
      </c>
    </row>
    <row r="24" spans="1:1" x14ac:dyDescent="0.3">
      <c r="A24" t="s">
        <v>120</v>
      </c>
    </row>
    <row r="25" spans="1:1" x14ac:dyDescent="0.3">
      <c r="A25" t="s">
        <v>194</v>
      </c>
    </row>
    <row r="26" spans="1:1" x14ac:dyDescent="0.3">
      <c r="A26" t="s">
        <v>195</v>
      </c>
    </row>
    <row r="27" spans="1:1" x14ac:dyDescent="0.3">
      <c r="A27" t="s">
        <v>121</v>
      </c>
    </row>
    <row r="28" spans="1:1" x14ac:dyDescent="0.3">
      <c r="A28" t="s">
        <v>196</v>
      </c>
    </row>
    <row r="29" spans="1:1" x14ac:dyDescent="0.3">
      <c r="A29" t="s">
        <v>197</v>
      </c>
    </row>
    <row r="30" spans="1:1" x14ac:dyDescent="0.3">
      <c r="A30" t="s">
        <v>122</v>
      </c>
    </row>
    <row r="31" spans="1:1" x14ac:dyDescent="0.3">
      <c r="A31" t="s">
        <v>123</v>
      </c>
    </row>
    <row r="32" spans="1:1" x14ac:dyDescent="0.3">
      <c r="A32" t="s">
        <v>198</v>
      </c>
    </row>
    <row r="33" spans="1:1" x14ac:dyDescent="0.3">
      <c r="A33" t="s">
        <v>124</v>
      </c>
    </row>
    <row r="34" spans="1:1" x14ac:dyDescent="0.3">
      <c r="A34" t="s">
        <v>125</v>
      </c>
    </row>
    <row r="35" spans="1:1" x14ac:dyDescent="0.3">
      <c r="A35" t="s">
        <v>199</v>
      </c>
    </row>
    <row r="36" spans="1:1" x14ac:dyDescent="0.3">
      <c r="A36" t="s">
        <v>126</v>
      </c>
    </row>
    <row r="37" spans="1:1" x14ac:dyDescent="0.3">
      <c r="A37" t="s">
        <v>200</v>
      </c>
    </row>
    <row r="38" spans="1:1" x14ac:dyDescent="0.3">
      <c r="A38" t="s">
        <v>201</v>
      </c>
    </row>
    <row r="39" spans="1:1" x14ac:dyDescent="0.3">
      <c r="A39" t="s">
        <v>127</v>
      </c>
    </row>
    <row r="40" spans="1:1" x14ac:dyDescent="0.3">
      <c r="A40" t="s">
        <v>202</v>
      </c>
    </row>
    <row r="41" spans="1:1" x14ac:dyDescent="0.3">
      <c r="A41" t="s">
        <v>203</v>
      </c>
    </row>
    <row r="42" spans="1:1" x14ac:dyDescent="0.3">
      <c r="A42" t="s">
        <v>128</v>
      </c>
    </row>
    <row r="43" spans="1:1" x14ac:dyDescent="0.3">
      <c r="A43" t="s">
        <v>204</v>
      </c>
    </row>
    <row r="44" spans="1:1" x14ac:dyDescent="0.3">
      <c r="A44" t="s">
        <v>205</v>
      </c>
    </row>
    <row r="45" spans="1:1" x14ac:dyDescent="0.3">
      <c r="A45" t="s">
        <v>129</v>
      </c>
    </row>
    <row r="46" spans="1:1" x14ac:dyDescent="0.3">
      <c r="A46" t="s">
        <v>206</v>
      </c>
    </row>
    <row r="47" spans="1:1" x14ac:dyDescent="0.3">
      <c r="A47" t="s">
        <v>130</v>
      </c>
    </row>
    <row r="48" spans="1:1" x14ac:dyDescent="0.3">
      <c r="A48" t="s">
        <v>207</v>
      </c>
    </row>
    <row r="49" spans="1:1" x14ac:dyDescent="0.3">
      <c r="A49" t="s">
        <v>131</v>
      </c>
    </row>
    <row r="50" spans="1:1" x14ac:dyDescent="0.3">
      <c r="A50" t="s">
        <v>132</v>
      </c>
    </row>
    <row r="51" spans="1:1" x14ac:dyDescent="0.3">
      <c r="A51" t="s">
        <v>208</v>
      </c>
    </row>
    <row r="52" spans="1:1" x14ac:dyDescent="0.3">
      <c r="A52" t="s">
        <v>133</v>
      </c>
    </row>
    <row r="53" spans="1:1" x14ac:dyDescent="0.3">
      <c r="A53" t="s">
        <v>200</v>
      </c>
    </row>
    <row r="54" spans="1:1" x14ac:dyDescent="0.3">
      <c r="A54" t="s">
        <v>209</v>
      </c>
    </row>
    <row r="55" spans="1:1" x14ac:dyDescent="0.3">
      <c r="A55" t="s">
        <v>134</v>
      </c>
    </row>
    <row r="56" spans="1:1" x14ac:dyDescent="0.3">
      <c r="A56" t="s">
        <v>202</v>
      </c>
    </row>
    <row r="57" spans="1:1" x14ac:dyDescent="0.3">
      <c r="A57" t="s">
        <v>210</v>
      </c>
    </row>
    <row r="58" spans="1:1" x14ac:dyDescent="0.3">
      <c r="A58" t="s">
        <v>135</v>
      </c>
    </row>
    <row r="59" spans="1:1" x14ac:dyDescent="0.3">
      <c r="A59" t="s">
        <v>206</v>
      </c>
    </row>
    <row r="60" spans="1:1" x14ac:dyDescent="0.3">
      <c r="A60" t="s">
        <v>136</v>
      </c>
    </row>
    <row r="61" spans="1:1" x14ac:dyDescent="0.3">
      <c r="A61" t="s">
        <v>211</v>
      </c>
    </row>
    <row r="62" spans="1:1" x14ac:dyDescent="0.3">
      <c r="A62" t="s">
        <v>137</v>
      </c>
    </row>
    <row r="63" spans="1:1" x14ac:dyDescent="0.3">
      <c r="A63" t="s">
        <v>212</v>
      </c>
    </row>
    <row r="64" spans="1:1" x14ac:dyDescent="0.3">
      <c r="A64" t="s">
        <v>213</v>
      </c>
    </row>
    <row r="65" spans="1:1" x14ac:dyDescent="0.3">
      <c r="A65" t="s">
        <v>138</v>
      </c>
    </row>
    <row r="66" spans="1:1" x14ac:dyDescent="0.3">
      <c r="A66" t="s">
        <v>214</v>
      </c>
    </row>
    <row r="67" spans="1:1" x14ac:dyDescent="0.3">
      <c r="A67" t="s">
        <v>215</v>
      </c>
    </row>
    <row r="68" spans="1:1" x14ac:dyDescent="0.3">
      <c r="A68" t="s">
        <v>139</v>
      </c>
    </row>
    <row r="69" spans="1:1" x14ac:dyDescent="0.3">
      <c r="A69" t="s">
        <v>216</v>
      </c>
    </row>
    <row r="70" spans="1:1" x14ac:dyDescent="0.3">
      <c r="A70" t="s">
        <v>140</v>
      </c>
    </row>
    <row r="71" spans="1:1" x14ac:dyDescent="0.3">
      <c r="A71" t="s">
        <v>217</v>
      </c>
    </row>
    <row r="72" spans="1:1" x14ac:dyDescent="0.3">
      <c r="A72" t="s">
        <v>218</v>
      </c>
    </row>
    <row r="73" spans="1:1" x14ac:dyDescent="0.3">
      <c r="A73" t="s">
        <v>219</v>
      </c>
    </row>
    <row r="74" spans="1:1" x14ac:dyDescent="0.3">
      <c r="A74" t="s">
        <v>220</v>
      </c>
    </row>
    <row r="75" spans="1:1" x14ac:dyDescent="0.3">
      <c r="A75" t="s">
        <v>141</v>
      </c>
    </row>
    <row r="76" spans="1:1" x14ac:dyDescent="0.3">
      <c r="A76" t="s">
        <v>142</v>
      </c>
    </row>
    <row r="77" spans="1:1" x14ac:dyDescent="0.3">
      <c r="A77" t="s">
        <v>37</v>
      </c>
    </row>
    <row r="78" spans="1:1" x14ac:dyDescent="0.3">
      <c r="A78" t="s">
        <v>221</v>
      </c>
    </row>
    <row r="79" spans="1:1" x14ac:dyDescent="0.3">
      <c r="A79" t="s">
        <v>143</v>
      </c>
    </row>
    <row r="80" spans="1:1" x14ac:dyDescent="0.3">
      <c r="A80" t="s">
        <v>144</v>
      </c>
    </row>
    <row r="81" spans="1:1" x14ac:dyDescent="0.3">
      <c r="A81" t="s">
        <v>222</v>
      </c>
    </row>
    <row r="82" spans="1:1" x14ac:dyDescent="0.3">
      <c r="A82" t="s">
        <v>145</v>
      </c>
    </row>
    <row r="83" spans="1:1" x14ac:dyDescent="0.3">
      <c r="A83" t="s">
        <v>223</v>
      </c>
    </row>
    <row r="84" spans="1:1" x14ac:dyDescent="0.3">
      <c r="A84" t="s">
        <v>224</v>
      </c>
    </row>
    <row r="85" spans="1:1" x14ac:dyDescent="0.3">
      <c r="A85" t="s">
        <v>146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BD2DA-A794-4826-9C8E-399E1D6637F2}">
  <dimension ref="A1:A71"/>
  <sheetViews>
    <sheetView topLeftCell="A48" workbookViewId="0">
      <selection activeCell="A9" sqref="A9"/>
    </sheetView>
  </sheetViews>
  <sheetFormatPr defaultRowHeight="14.4" x14ac:dyDescent="0.3"/>
  <cols>
    <col min="1" max="1" width="53.21875" bestFit="1" customWidth="1"/>
  </cols>
  <sheetData>
    <row r="1" spans="1:1" x14ac:dyDescent="0.3">
      <c r="A1" t="s">
        <v>43</v>
      </c>
    </row>
    <row r="2" spans="1:1" x14ac:dyDescent="0.3">
      <c r="A2" s="1">
        <v>45838</v>
      </c>
    </row>
    <row r="3" spans="1:1" x14ac:dyDescent="0.3">
      <c r="A3" s="1">
        <v>45657</v>
      </c>
    </row>
    <row r="4" spans="1:1" x14ac:dyDescent="0.3">
      <c r="A4" t="s">
        <v>225</v>
      </c>
    </row>
    <row r="5" spans="1:1" x14ac:dyDescent="0.3">
      <c r="A5" t="s">
        <v>147</v>
      </c>
    </row>
    <row r="6" spans="1:1" x14ac:dyDescent="0.3">
      <c r="A6" t="s">
        <v>226</v>
      </c>
    </row>
    <row r="7" spans="1:1" x14ac:dyDescent="0.3">
      <c r="A7" t="s">
        <v>148</v>
      </c>
    </row>
    <row r="8" spans="1:1" x14ac:dyDescent="0.3">
      <c r="A8" t="s">
        <v>185</v>
      </c>
    </row>
    <row r="9" spans="1:1" x14ac:dyDescent="0.3">
      <c r="A9" t="s">
        <v>227</v>
      </c>
    </row>
    <row r="10" spans="1:1" x14ac:dyDescent="0.3">
      <c r="A10" t="s">
        <v>149</v>
      </c>
    </row>
    <row r="11" spans="1:1" x14ac:dyDescent="0.3">
      <c r="A11" t="s">
        <v>187</v>
      </c>
    </row>
    <row r="12" spans="1:1" x14ac:dyDescent="0.3">
      <c r="A12" t="s">
        <v>228</v>
      </c>
    </row>
    <row r="13" spans="1:1" x14ac:dyDescent="0.3">
      <c r="A13" t="s">
        <v>150</v>
      </c>
    </row>
    <row r="14" spans="1:1" x14ac:dyDescent="0.3">
      <c r="A14" t="s">
        <v>151</v>
      </c>
    </row>
    <row r="15" spans="1:1" x14ac:dyDescent="0.3">
      <c r="A15" t="s">
        <v>229</v>
      </c>
    </row>
    <row r="16" spans="1:1" x14ac:dyDescent="0.3">
      <c r="A16" t="s">
        <v>152</v>
      </c>
    </row>
    <row r="17" spans="1:1" x14ac:dyDescent="0.3">
      <c r="A17" t="s">
        <v>230</v>
      </c>
    </row>
    <row r="18" spans="1:1" x14ac:dyDescent="0.3">
      <c r="A18" t="s">
        <v>231</v>
      </c>
    </row>
    <row r="19" spans="1:1" x14ac:dyDescent="0.3">
      <c r="A19" t="s">
        <v>153</v>
      </c>
    </row>
    <row r="20" spans="1:1" x14ac:dyDescent="0.3">
      <c r="A20" t="s">
        <v>232</v>
      </c>
    </row>
    <row r="21" spans="1:1" x14ac:dyDescent="0.3">
      <c r="A21" t="s">
        <v>233</v>
      </c>
    </row>
    <row r="22" spans="1:1" x14ac:dyDescent="0.3">
      <c r="A22" t="s">
        <v>154</v>
      </c>
    </row>
    <row r="23" spans="1:1" x14ac:dyDescent="0.3">
      <c r="A23" t="s">
        <v>234</v>
      </c>
    </row>
    <row r="24" spans="1:1" x14ac:dyDescent="0.3">
      <c r="A24" t="s">
        <v>235</v>
      </c>
    </row>
    <row r="25" spans="1:1" x14ac:dyDescent="0.3">
      <c r="A25" t="s">
        <v>155</v>
      </c>
    </row>
    <row r="26" spans="1:1" x14ac:dyDescent="0.3">
      <c r="A26" t="s">
        <v>236</v>
      </c>
    </row>
    <row r="27" spans="1:1" x14ac:dyDescent="0.3">
      <c r="A27" t="s">
        <v>237</v>
      </c>
    </row>
    <row r="28" spans="1:1" x14ac:dyDescent="0.3">
      <c r="A28" t="s">
        <v>156</v>
      </c>
    </row>
    <row r="29" spans="1:1" x14ac:dyDescent="0.3">
      <c r="A29" t="s">
        <v>157</v>
      </c>
    </row>
    <row r="30" spans="1:1" x14ac:dyDescent="0.3">
      <c r="A30" t="s">
        <v>158</v>
      </c>
    </row>
    <row r="31" spans="1:1" x14ac:dyDescent="0.3">
      <c r="A31" t="s">
        <v>238</v>
      </c>
    </row>
    <row r="32" spans="1:1" x14ac:dyDescent="0.3">
      <c r="A32" t="s">
        <v>159</v>
      </c>
    </row>
    <row r="33" spans="1:1" x14ac:dyDescent="0.3">
      <c r="A33" t="s">
        <v>239</v>
      </c>
    </row>
    <row r="34" spans="1:1" x14ac:dyDescent="0.3">
      <c r="A34" t="s">
        <v>238</v>
      </c>
    </row>
    <row r="35" spans="1:1" x14ac:dyDescent="0.3">
      <c r="A35" t="s">
        <v>159</v>
      </c>
    </row>
    <row r="36" spans="1:1" x14ac:dyDescent="0.3">
      <c r="A36" t="s">
        <v>240</v>
      </c>
    </row>
    <row r="37" spans="1:1" x14ac:dyDescent="0.3">
      <c r="A37" t="s">
        <v>241</v>
      </c>
    </row>
    <row r="38" spans="1:1" x14ac:dyDescent="0.3">
      <c r="A38" t="s">
        <v>160</v>
      </c>
    </row>
    <row r="39" spans="1:1" x14ac:dyDescent="0.3">
      <c r="A39" t="s">
        <v>242</v>
      </c>
    </row>
    <row r="40" spans="1:1" x14ac:dyDescent="0.3">
      <c r="A40" t="s">
        <v>161</v>
      </c>
    </row>
    <row r="41" spans="1:1" x14ac:dyDescent="0.3">
      <c r="A41" t="s">
        <v>162</v>
      </c>
    </row>
    <row r="42" spans="1:1" x14ac:dyDescent="0.3">
      <c r="A42" t="s">
        <v>243</v>
      </c>
    </row>
    <row r="43" spans="1:1" x14ac:dyDescent="0.3">
      <c r="A43" t="s">
        <v>163</v>
      </c>
    </row>
    <row r="44" spans="1:1" x14ac:dyDescent="0.3">
      <c r="A44" t="s">
        <v>164</v>
      </c>
    </row>
    <row r="45" spans="1:1" x14ac:dyDescent="0.3">
      <c r="A45" t="s">
        <v>244</v>
      </c>
    </row>
    <row r="46" spans="1:1" x14ac:dyDescent="0.3">
      <c r="A46" t="s">
        <v>165</v>
      </c>
    </row>
    <row r="47" spans="1:1" x14ac:dyDescent="0.3">
      <c r="A47" t="s">
        <v>166</v>
      </c>
    </row>
    <row r="48" spans="1:1" x14ac:dyDescent="0.3">
      <c r="A48" t="s">
        <v>167</v>
      </c>
    </row>
    <row r="49" spans="1:1" x14ac:dyDescent="0.3">
      <c r="A49" t="s">
        <v>245</v>
      </c>
    </row>
    <row r="50" spans="1:1" x14ac:dyDescent="0.3">
      <c r="A50" t="s">
        <v>168</v>
      </c>
    </row>
    <row r="51" spans="1:1" x14ac:dyDescent="0.3">
      <c r="A51" t="s">
        <v>246</v>
      </c>
    </row>
    <row r="52" spans="1:1" x14ac:dyDescent="0.3">
      <c r="A52" t="s">
        <v>169</v>
      </c>
    </row>
    <row r="53" spans="1:1" x14ac:dyDescent="0.3">
      <c r="A53">
        <v>420</v>
      </c>
    </row>
    <row r="54" spans="1:1" x14ac:dyDescent="0.3">
      <c r="A54">
        <v>420</v>
      </c>
    </row>
    <row r="55" spans="1:1" x14ac:dyDescent="0.3">
      <c r="A55" t="s">
        <v>170</v>
      </c>
    </row>
    <row r="56" spans="1:1" x14ac:dyDescent="0.3">
      <c r="A56" t="s">
        <v>247</v>
      </c>
    </row>
    <row r="57" spans="1:1" x14ac:dyDescent="0.3">
      <c r="A57" t="s">
        <v>171</v>
      </c>
    </row>
    <row r="58" spans="1:1" x14ac:dyDescent="0.3">
      <c r="A58" t="s">
        <v>172</v>
      </c>
    </row>
    <row r="59" spans="1:1" x14ac:dyDescent="0.3">
      <c r="A59" t="s">
        <v>173</v>
      </c>
    </row>
    <row r="60" spans="1:1" x14ac:dyDescent="0.3">
      <c r="A60" t="s">
        <v>173</v>
      </c>
    </row>
    <row r="61" spans="1:1" x14ac:dyDescent="0.3">
      <c r="A61" t="s">
        <v>174</v>
      </c>
    </row>
    <row r="62" spans="1:1" x14ac:dyDescent="0.3">
      <c r="A62" t="s">
        <v>175</v>
      </c>
    </row>
    <row r="63" spans="1:1" x14ac:dyDescent="0.3">
      <c r="A63" t="s">
        <v>176</v>
      </c>
    </row>
    <row r="64" spans="1:1" x14ac:dyDescent="0.3">
      <c r="A64" t="s">
        <v>176</v>
      </c>
    </row>
    <row r="65" spans="1:1" x14ac:dyDescent="0.3">
      <c r="A65" t="s">
        <v>177</v>
      </c>
    </row>
    <row r="66" spans="1:1" x14ac:dyDescent="0.3">
      <c r="A66" t="s">
        <v>179</v>
      </c>
    </row>
    <row r="67" spans="1:1" x14ac:dyDescent="0.3">
      <c r="A67" t="s">
        <v>248</v>
      </c>
    </row>
    <row r="68" spans="1:1" x14ac:dyDescent="0.3">
      <c r="A68" t="s">
        <v>178</v>
      </c>
    </row>
    <row r="69" spans="1:1" x14ac:dyDescent="0.3">
      <c r="A69" t="s">
        <v>249</v>
      </c>
    </row>
    <row r="70" spans="1:1" x14ac:dyDescent="0.3">
      <c r="A70" t="s">
        <v>224</v>
      </c>
    </row>
    <row r="71" spans="1:1" x14ac:dyDescent="0.3">
      <c r="A71" t="s">
        <v>146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54235-7C29-4B9C-80FA-14CF5F79909E}">
  <dimension ref="A1:A92"/>
  <sheetViews>
    <sheetView tabSelected="1" topLeftCell="A75" workbookViewId="0">
      <selection activeCell="F17" sqref="F17"/>
    </sheetView>
  </sheetViews>
  <sheetFormatPr defaultRowHeight="14.4" x14ac:dyDescent="0.3"/>
  <cols>
    <col min="1" max="1" width="64.88671875" bestFit="1" customWidth="1"/>
  </cols>
  <sheetData>
    <row r="1" spans="1:1" x14ac:dyDescent="0.3">
      <c r="A1" s="1" t="s">
        <v>382</v>
      </c>
    </row>
    <row r="2" spans="1:1" x14ac:dyDescent="0.3">
      <c r="A2" s="1">
        <v>45838</v>
      </c>
    </row>
    <row r="3" spans="1:1" x14ac:dyDescent="0.3">
      <c r="A3" s="1">
        <v>45473</v>
      </c>
    </row>
    <row r="4" spans="1:1" x14ac:dyDescent="0.3">
      <c r="A4" t="e" cm="1">
        <f t="array" ref="A4">+ Interest and similar income</f>
        <v>#NAME?</v>
      </c>
    </row>
    <row r="5" spans="1:1" x14ac:dyDescent="0.3">
      <c r="A5" t="s">
        <v>383</v>
      </c>
    </row>
    <row r="6" spans="1:1" x14ac:dyDescent="0.3">
      <c r="A6" t="s">
        <v>384</v>
      </c>
    </row>
    <row r="7" spans="1:1" x14ac:dyDescent="0.3">
      <c r="A7" t="e" cm="1">
        <f t="array" ref="A7">- Interest and similar expenses</f>
        <v>#NAME?</v>
      </c>
    </row>
    <row r="8" spans="1:1" x14ac:dyDescent="0.3">
      <c r="A8" t="s">
        <v>385</v>
      </c>
    </row>
    <row r="9" spans="1:1" x14ac:dyDescent="0.3">
      <c r="A9" t="s">
        <v>386</v>
      </c>
    </row>
    <row r="10" spans="1:1" x14ac:dyDescent="0.3">
      <c r="A10" t="s">
        <v>320</v>
      </c>
    </row>
    <row r="11" spans="1:1" x14ac:dyDescent="0.3">
      <c r="A11" t="s">
        <v>387</v>
      </c>
    </row>
    <row r="12" spans="1:1" x14ac:dyDescent="0.3">
      <c r="A12" t="s">
        <v>388</v>
      </c>
    </row>
    <row r="13" spans="1:1" x14ac:dyDescent="0.3">
      <c r="A13" t="e" cm="1">
        <f t="array" ref="A13">+ income from participatory financing</f>
        <v>#NAME?</v>
      </c>
    </row>
    <row r="14" spans="1:1" x14ac:dyDescent="0.3">
      <c r="A14" t="e" cm="1">
        <f t="array" ref="A14">- expenses on participatory financing</f>
        <v>#NAME?</v>
      </c>
    </row>
    <row r="15" spans="1:1" x14ac:dyDescent="0.3">
      <c r="A15" t="s">
        <v>389</v>
      </c>
    </row>
    <row r="16" spans="1:1" x14ac:dyDescent="0.3">
      <c r="A16" t="e" cm="1">
        <f t="array" ref="A16">+ income from lease-financed fixed assets</f>
        <v>#NAME?</v>
      </c>
    </row>
    <row r="17" spans="1:1" x14ac:dyDescent="0.3">
      <c r="A17" t="s">
        <v>250</v>
      </c>
    </row>
    <row r="18" spans="1:1" x14ac:dyDescent="0.3">
      <c r="A18" t="s">
        <v>251</v>
      </c>
    </row>
    <row r="19" spans="1:1" x14ac:dyDescent="0.3">
      <c r="A19" t="e" cm="1">
        <f t="array" ref="A19">- expenses on lease-financed fixed assets</f>
        <v>#NAME?</v>
      </c>
    </row>
    <row r="20" spans="1:1" x14ac:dyDescent="0.3">
      <c r="A20" t="s">
        <v>253</v>
      </c>
    </row>
    <row r="21" spans="1:1" x14ac:dyDescent="0.3">
      <c r="A21" t="s">
        <v>254</v>
      </c>
    </row>
    <row r="22" spans="1:1" x14ac:dyDescent="0.3">
      <c r="A22" t="s">
        <v>390</v>
      </c>
    </row>
    <row r="23" spans="1:1" x14ac:dyDescent="0.3">
      <c r="A23" t="s">
        <v>391</v>
      </c>
    </row>
    <row r="24" spans="1:1" x14ac:dyDescent="0.3">
      <c r="A24" t="s">
        <v>392</v>
      </c>
    </row>
    <row r="25" spans="1:1" x14ac:dyDescent="0.3">
      <c r="A25" t="e" cm="1">
        <f t="array" ref="A25">+ income from fixed assets given in Ijara</f>
        <v>#NAME?</v>
      </c>
    </row>
    <row r="26" spans="1:1" x14ac:dyDescent="0.3">
      <c r="A26" t="e" cm="1">
        <f t="array" ref="A26">- expenses on fixed assets given in Ijara</f>
        <v>#NAME?</v>
      </c>
    </row>
    <row r="27" spans="1:1" x14ac:dyDescent="0.3">
      <c r="A27" t="s">
        <v>393</v>
      </c>
    </row>
    <row r="28" spans="1:1" x14ac:dyDescent="0.3">
      <c r="A28" t="e" cm="1">
        <f t="array" ref="A28">+ Fees received</f>
        <v>#NAME?</v>
      </c>
    </row>
    <row r="29" spans="1:1" x14ac:dyDescent="0.3">
      <c r="A29" t="s">
        <v>394</v>
      </c>
    </row>
    <row r="30" spans="1:1" x14ac:dyDescent="0.3">
      <c r="A30" t="s">
        <v>252</v>
      </c>
    </row>
    <row r="31" spans="1:1" x14ac:dyDescent="0.3">
      <c r="A31" t="e" cm="1">
        <f t="array" ref="A31">- Fees paid</f>
        <v>#NAME?</v>
      </c>
    </row>
    <row r="32" spans="1:1" x14ac:dyDescent="0.3">
      <c r="A32" t="s">
        <v>395</v>
      </c>
    </row>
    <row r="33" spans="1:1" x14ac:dyDescent="0.3">
      <c r="A33">
        <v>917</v>
      </c>
    </row>
    <row r="34" spans="1:1" x14ac:dyDescent="0.3">
      <c r="A34" t="s">
        <v>396</v>
      </c>
    </row>
    <row r="35" spans="1:1" x14ac:dyDescent="0.3">
      <c r="A35" t="s">
        <v>397</v>
      </c>
    </row>
    <row r="36" spans="1:1" x14ac:dyDescent="0.3">
      <c r="A36" t="s">
        <v>398</v>
      </c>
    </row>
    <row r="37" spans="1:1" x14ac:dyDescent="0.3">
      <c r="A37" t="e" cm="1">
        <f t="array" ref="A37">+ income from trading securities</f>
        <v>#NAME?</v>
      </c>
    </row>
    <row r="38" spans="1:1" x14ac:dyDescent="0.3">
      <c r="A38" t="s">
        <v>399</v>
      </c>
    </row>
    <row r="39" spans="1:1" x14ac:dyDescent="0.3">
      <c r="A39" t="s">
        <v>400</v>
      </c>
    </row>
    <row r="40" spans="1:1" x14ac:dyDescent="0.3">
      <c r="A40" t="e" cm="1">
        <f t="array" ref="A40">+ income from available-for-sale securities</f>
        <v>#NAME?</v>
      </c>
    </row>
    <row r="41" spans="1:1" x14ac:dyDescent="0.3">
      <c r="A41" t="s">
        <v>401</v>
      </c>
    </row>
    <row r="42" spans="1:1" x14ac:dyDescent="0.3">
      <c r="A42">
        <v>175</v>
      </c>
    </row>
    <row r="43" spans="1:1" x14ac:dyDescent="0.3">
      <c r="A43" t="e" cm="1">
        <f t="array" ref="A43">+ income from foreign exchange activities</f>
        <v>#NAME?</v>
      </c>
    </row>
    <row r="44" spans="1:1" x14ac:dyDescent="0.3">
      <c r="A44" t="s">
        <v>402</v>
      </c>
    </row>
    <row r="45" spans="1:1" x14ac:dyDescent="0.3">
      <c r="A45" t="s">
        <v>403</v>
      </c>
    </row>
    <row r="46" spans="1:1" x14ac:dyDescent="0.3">
      <c r="A46" t="e" cm="1">
        <f t="array" ref="A46">+ income from derivatives activities</f>
        <v>#NAME?</v>
      </c>
    </row>
    <row r="47" spans="1:1" x14ac:dyDescent="0.3">
      <c r="A47" t="s">
        <v>404</v>
      </c>
    </row>
    <row r="48" spans="1:1" x14ac:dyDescent="0.3">
      <c r="A48" t="s">
        <v>405</v>
      </c>
    </row>
    <row r="49" spans="1:1" x14ac:dyDescent="0.3">
      <c r="A49" t="s">
        <v>406</v>
      </c>
    </row>
    <row r="50" spans="1:1" x14ac:dyDescent="0.3">
      <c r="A50" t="s">
        <v>407</v>
      </c>
    </row>
    <row r="51" spans="1:1" x14ac:dyDescent="0.3">
      <c r="A51" t="s">
        <v>408</v>
      </c>
    </row>
    <row r="52" spans="1:1" x14ac:dyDescent="0.3">
      <c r="A52" t="e" cm="1">
        <f t="array" ref="A52">+ Result of Moudaraba and Moucharaka securities Transactions</f>
        <v>#NAME?</v>
      </c>
    </row>
    <row r="53" spans="1:1" x14ac:dyDescent="0.3">
      <c r="A53" t="e" cm="1">
        <f t="array" ref="A53">+ Other banking income</f>
        <v>#NAME?</v>
      </c>
    </row>
    <row r="54" spans="1:1" x14ac:dyDescent="0.3">
      <c r="A54" t="s">
        <v>409</v>
      </c>
    </row>
    <row r="55" spans="1:1" x14ac:dyDescent="0.3">
      <c r="A55" t="s">
        <v>410</v>
      </c>
    </row>
    <row r="56" spans="1:1" x14ac:dyDescent="0.3">
      <c r="A56" t="e" cm="1">
        <f t="array" ref="A56">- Other banking expenses</f>
        <v>#NAME?</v>
      </c>
    </row>
    <row r="57" spans="1:1" x14ac:dyDescent="0.3">
      <c r="A57" t="s">
        <v>411</v>
      </c>
    </row>
    <row r="58" spans="1:1" x14ac:dyDescent="0.3">
      <c r="A58" t="s">
        <v>412</v>
      </c>
    </row>
    <row r="59" spans="1:1" x14ac:dyDescent="0.3">
      <c r="A59" t="s">
        <v>101</v>
      </c>
    </row>
    <row r="60" spans="1:1" x14ac:dyDescent="0.3">
      <c r="A60" t="s">
        <v>255</v>
      </c>
    </row>
    <row r="61" spans="1:1" x14ac:dyDescent="0.3">
      <c r="A61" t="s">
        <v>256</v>
      </c>
    </row>
    <row r="62" spans="1:1" x14ac:dyDescent="0.3">
      <c r="A62" t="e" cm="1">
        <f t="array" ref="A62">+ income from long-term investments</f>
        <v>#NAME?</v>
      </c>
    </row>
    <row r="63" spans="1:1" x14ac:dyDescent="0.3">
      <c r="A63" t="s">
        <v>413</v>
      </c>
    </row>
    <row r="64" spans="1:1" x14ac:dyDescent="0.3">
      <c r="A64" t="s">
        <v>414</v>
      </c>
    </row>
    <row r="65" spans="1:1" x14ac:dyDescent="0.3">
      <c r="A65" t="e" cm="1">
        <f t="array" ref="A65">+ Other non-banking operating income</f>
        <v>#NAME?</v>
      </c>
    </row>
    <row r="66" spans="1:1" x14ac:dyDescent="0.3">
      <c r="A66" t="s">
        <v>257</v>
      </c>
    </row>
    <row r="67" spans="1:1" x14ac:dyDescent="0.3">
      <c r="A67" t="s">
        <v>415</v>
      </c>
    </row>
    <row r="68" spans="1:1" x14ac:dyDescent="0.3">
      <c r="A68" t="e" cm="1">
        <f t="array" ref="A68">- Other non-banking operating expenses</f>
        <v>#NAME?</v>
      </c>
    </row>
    <row r="69" spans="1:1" x14ac:dyDescent="0.3">
      <c r="A69" t="e" cm="1">
        <f t="array" ref="A69">- General operating expenses</f>
        <v>#NAME?</v>
      </c>
    </row>
    <row r="70" spans="1:1" x14ac:dyDescent="0.3">
      <c r="A70" t="s">
        <v>258</v>
      </c>
    </row>
    <row r="71" spans="1:1" x14ac:dyDescent="0.3">
      <c r="A71" t="s">
        <v>259</v>
      </c>
    </row>
    <row r="72" spans="1:1" x14ac:dyDescent="0.3">
      <c r="A72" t="s">
        <v>104</v>
      </c>
    </row>
    <row r="73" spans="1:1" x14ac:dyDescent="0.3">
      <c r="A73" t="s">
        <v>416</v>
      </c>
    </row>
    <row r="74" spans="1:1" x14ac:dyDescent="0.3">
      <c r="A74" t="s">
        <v>417</v>
      </c>
    </row>
    <row r="75" spans="1:1" x14ac:dyDescent="0.3">
      <c r="A75" t="e" cm="1">
        <f t="array" ref="A75">+ Net provisions for non-performing loans and signature loans</f>
        <v>#NAME?</v>
      </c>
    </row>
    <row r="76" spans="1:1" x14ac:dyDescent="0.3">
      <c r="A76" t="s">
        <v>418</v>
      </c>
    </row>
    <row r="77" spans="1:1" x14ac:dyDescent="0.3">
      <c r="A77" t="s">
        <v>419</v>
      </c>
    </row>
    <row r="78" spans="1:1" x14ac:dyDescent="0.3">
      <c r="A78" t="e" cm="1">
        <f t="array" ref="A78">+ Other Net provisions</f>
        <v>#NAME?</v>
      </c>
    </row>
    <row r="79" spans="1:1" x14ac:dyDescent="0.3">
      <c r="A79" t="s">
        <v>420</v>
      </c>
    </row>
    <row r="80" spans="1:1" x14ac:dyDescent="0.3">
      <c r="A80" t="s">
        <v>421</v>
      </c>
    </row>
    <row r="81" spans="1:1" x14ac:dyDescent="0.3">
      <c r="A81" t="s">
        <v>105</v>
      </c>
    </row>
    <row r="82" spans="1:1" x14ac:dyDescent="0.3">
      <c r="A82" t="s">
        <v>260</v>
      </c>
    </row>
    <row r="83" spans="1:1" x14ac:dyDescent="0.3">
      <c r="A83" t="s">
        <v>261</v>
      </c>
    </row>
    <row r="84" spans="1:1" x14ac:dyDescent="0.3">
      <c r="A84" t="s">
        <v>422</v>
      </c>
    </row>
    <row r="85" spans="1:1" x14ac:dyDescent="0.3">
      <c r="A85" t="s">
        <v>423</v>
      </c>
    </row>
    <row r="86" spans="1:1" x14ac:dyDescent="0.3">
      <c r="A86" t="s">
        <v>424</v>
      </c>
    </row>
    <row r="87" spans="1:1" x14ac:dyDescent="0.3">
      <c r="A87" t="e" cm="1">
        <f t="array" ref="A87">- income tax</f>
        <v>#NAME?</v>
      </c>
    </row>
    <row r="88" spans="1:1" x14ac:dyDescent="0.3">
      <c r="A88" t="s">
        <v>262</v>
      </c>
    </row>
    <row r="89" spans="1:1" x14ac:dyDescent="0.3">
      <c r="A89" t="s">
        <v>263</v>
      </c>
    </row>
    <row r="90" spans="1:1" x14ac:dyDescent="0.3">
      <c r="A90" t="s">
        <v>180</v>
      </c>
    </row>
    <row r="91" spans="1:1" x14ac:dyDescent="0.3">
      <c r="A91" t="s">
        <v>248</v>
      </c>
    </row>
    <row r="92" spans="1:1" x14ac:dyDescent="0.3">
      <c r="A92" t="s">
        <v>264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ConsolidatedAssets</vt:lpstr>
      <vt:lpstr>ConsolidatedLiabilities</vt:lpstr>
      <vt:lpstr>ConsolidatedIncomeStatement</vt:lpstr>
      <vt:lpstr>Assets</vt:lpstr>
      <vt:lpstr>Liabilities</vt:lpstr>
      <vt:lpstr>IncomeStatement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Ayman Fenkouch</dc:creator>
  <cp:lastModifiedBy>Ayman Fenkouch</cp:lastModifiedBy>
  <dcterms:created xsi:type="dcterms:W3CDTF">2015-06-05T18:17:20Z</dcterms:created>
  <dcterms:modified xsi:type="dcterms:W3CDTF">2026-01-31T19:09:26Z</dcterms:modified>
</cp:coreProperties>
</file>
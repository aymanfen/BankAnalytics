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<sst xmlns="http://schemas.openxmlformats.org/spreadsheetml/2006/main" count="580" uniqueCount="449">
  <si>
    <t xml:space="preserve">ACTIF IFRS</t>
  </si>
  <si>
    <t xml:space="preserve">30/09/2025</t>
  </si>
  <si>
    <t xml:space="preserve">31/12/2024</t>
  </si>
  <si>
    <t xml:space="preserve">Valeurs en caisse, Banques centrales, Trésor public, CCP</t>
  </si>
  <si>
    <t xml:space="preserve">3 377 207</t>
  </si>
  <si>
    <t xml:space="preserve">5 422 122</t>
  </si>
  <si>
    <t xml:space="preserve">Actifs financiers à la juste valeur par résultat</t>
  </si>
  <si>
    <t xml:space="preserve">12 979 544</t>
  </si>
  <si>
    <t xml:space="preserve">10 427 090</t>
  </si>
  <si>
    <t xml:space="preserve">Actifs financiers détenus à des fins de transaction</t>
  </si>
  <si>
    <t xml:space="preserve">11 242 318</t>
  </si>
  <si>
    <t xml:space="preserve">8 759 819</t>
  </si>
  <si>
    <t xml:space="preserve">Autres actifs financiers à la juste valeur par résultat</t>
  </si>
  <si>
    <t xml:space="preserve">1 737 227</t>
  </si>
  <si>
    <t xml:space="preserve">1 667 271</t>
  </si>
  <si>
    <t xml:space="preserve">Instruments dérivés de couverture</t>
  </si>
  <si>
    <t xml:space="preserve">-</t>
  </si>
  <si>
    <t xml:space="preserve">Actifs financiers à la juste valeur par capitaux propres</t>
  </si>
  <si>
    <t xml:space="preserve">2 840 536</t>
  </si>
  <si>
    <t xml:space="preserve">833 066</t>
  </si>
  <si>
    <t xml:space="preserve">Instruments de dette à la JV par capitaux propres recyclables</t>
  </si>
  <si>
    <t xml:space="preserve">1 995 637</t>
  </si>
  <si>
    <t xml:space="preserve">44 676</t>
  </si>
  <si>
    <t xml:space="preserve">Instruments de KP à la JV par capitaux propres non recyclables</t>
  </si>
  <si>
    <t xml:space="preserve">844 899</t>
  </si>
  <si>
    <t xml:space="preserve">788 390</t>
  </si>
  <si>
    <t xml:space="preserve">Titres au coût amorti</t>
  </si>
  <si>
    <t xml:space="preserve">9 479 056</t>
  </si>
  <si>
    <t xml:space="preserve">9 061 996</t>
  </si>
  <si>
    <t xml:space="preserve">Prêts et créances sur les établissements de crédit et assimilés, au coût</t>
  </si>
  <si>
    <t xml:space="preserve">amorti</t>
  </si>
  <si>
    <t xml:space="preserve">5 199 849</t>
  </si>
  <si>
    <t xml:space="preserve">3 411 829</t>
  </si>
  <si>
    <t xml:space="preserve">Prêts et créances sur la clientèle, au coût amorti</t>
  </si>
  <si>
    <t xml:space="preserve">105 147 490</t>
  </si>
  <si>
    <t xml:space="preserve">101 209 734</t>
  </si>
  <si>
    <t xml:space="preserve">Ecart de réévaluation actif des portefeuilles couverts en taux</t>
  </si>
  <si>
    <t xml:space="preserve">Placements des activités d'assurance</t>
  </si>
  <si>
    <t xml:space="preserve">Actifs d'impôt exigible</t>
  </si>
  <si>
    <t xml:space="preserve">573 086</t>
  </si>
  <si>
    <t xml:space="preserve">824 871</t>
  </si>
  <si>
    <t xml:space="preserve">Actifs d'impôt différé</t>
  </si>
  <si>
    <t xml:space="preserve">833 200</t>
  </si>
  <si>
    <t xml:space="preserve">794 174</t>
  </si>
  <si>
    <t xml:space="preserve">Comptes de régularisation et autres actifs</t>
  </si>
  <si>
    <t xml:space="preserve">3 031 064</t>
  </si>
  <si>
    <t xml:space="preserve">2 301 086</t>
  </si>
  <si>
    <t xml:space="preserve">Actifs non courants destinés à être cédés</t>
  </si>
  <si>
    <t xml:space="preserve">Participations dans les entreprises mise en équivalence</t>
  </si>
  <si>
    <t xml:space="preserve">50 926</t>
  </si>
  <si>
    <t xml:space="preserve">63 416</t>
  </si>
  <si>
    <t xml:space="preserve">Immeubles de placement</t>
  </si>
  <si>
    <t xml:space="preserve">2 160 363</t>
  </si>
  <si>
    <t xml:space="preserve">1 922 978</t>
  </si>
  <si>
    <t xml:space="preserve">Immobilisations corporelles</t>
  </si>
  <si>
    <t xml:space="preserve">3 770 579</t>
  </si>
  <si>
    <t xml:space="preserve">3 658 718</t>
  </si>
  <si>
    <t xml:space="preserve">Immobilisations incorporelles</t>
  </si>
  <si>
    <t xml:space="preserve">808 064</t>
  </si>
  <si>
    <t xml:space="preserve">743 776</t>
  </si>
  <si>
    <t xml:space="preserve">Ecart d'acquisition</t>
  </si>
  <si>
    <t xml:space="preserve">296 531</t>
  </si>
  <si>
    <t xml:space="preserve">TOTAL ACTIF</t>
  </si>
  <si>
    <t xml:space="preserve">150 547 496</t>
  </si>
  <si>
    <t xml:space="preserve">140 971 389</t>
  </si>
  <si>
    <t xml:space="preserve">PASSIF IFRS</t>
  </si>
  <si>
    <t xml:space="preserve">Banques centrales, trésor public, service des chèques postaux</t>
  </si>
  <si>
    <t xml:space="preserve">Passifs financiers à la juste valeur par résultat</t>
  </si>
  <si>
    <t xml:space="preserve">Passifs financiers détenus à des fins de transactions</t>
  </si>
  <si>
    <t xml:space="preserve">Passifs financiers à la juste valeur par résultat sur option</t>
  </si>
  <si>
    <t xml:space="preserve">Dettes envers les établissements de crédit et assimilés</t>
  </si>
  <si>
    <t xml:space="preserve">22 104 996</t>
  </si>
  <si>
    <t xml:space="preserve">18 864 940</t>
  </si>
  <si>
    <t xml:space="preserve">Dettes envers la clientèle</t>
  </si>
  <si>
    <t xml:space="preserve">90 119 825</t>
  </si>
  <si>
    <t xml:space="preserve">84 466 604</t>
  </si>
  <si>
    <t xml:space="preserve">Titres de créance émis</t>
  </si>
  <si>
    <t xml:space="preserve">13 157 661</t>
  </si>
  <si>
    <t xml:space="preserve">13 241 997</t>
  </si>
  <si>
    <t xml:space="preserve">Ecart de réévaluation passif des portefeuilles couverts en taux</t>
  </si>
  <si>
    <t xml:space="preserve">Passifs d'impôt exigible</t>
  </si>
  <si>
    <t xml:space="preserve">593 389</t>
  </si>
  <si>
    <t xml:space="preserve">657 983</t>
  </si>
  <si>
    <t xml:space="preserve">Passifs d'impôts différés</t>
  </si>
  <si>
    <t xml:space="preserve">434 067</t>
  </si>
  <si>
    <t xml:space="preserve">369 380</t>
  </si>
  <si>
    <t xml:space="preserve">Compte de régularisation et autres passifs</t>
  </si>
  <si>
    <t xml:space="preserve">8 100 639</t>
  </si>
  <si>
    <t xml:space="preserve">8 613 057</t>
  </si>
  <si>
    <t xml:space="preserve">Dettes liées aux actifs non courants destinés à être cédés</t>
  </si>
  <si>
    <t xml:space="preserve">Provisions techniques des contrats d'assurance</t>
  </si>
  <si>
    <t xml:space="preserve">Provisions pour risques et charges</t>
  </si>
  <si>
    <t xml:space="preserve">655 128</t>
  </si>
  <si>
    <t xml:space="preserve">628 012</t>
  </si>
  <si>
    <t xml:space="preserve">Subventions et Fonds assimilés</t>
  </si>
  <si>
    <t xml:space="preserve">Dettes subordonnées et fonds spéciaux de garantie</t>
  </si>
  <si>
    <t xml:space="preserve">4 912 159</t>
  </si>
  <si>
    <t xml:space="preserve">5 691 969</t>
  </si>
  <si>
    <t xml:space="preserve">Capitaux propres</t>
  </si>
  <si>
    <t xml:space="preserve">10 469 633</t>
  </si>
  <si>
    <t xml:space="preserve">8 437 448</t>
  </si>
  <si>
    <t xml:space="preserve">Capital et réserves liées</t>
  </si>
  <si>
    <t xml:space="preserve">3 560 562</t>
  </si>
  <si>
    <t xml:space="preserve">3 149 728</t>
  </si>
  <si>
    <t xml:space="preserve">Réserves consolidées</t>
  </si>
  <si>
    <t xml:space="preserve">5 699 008</t>
  </si>
  <si>
    <t xml:space="preserve">4 094 864</t>
  </si>
  <si>
    <t xml:space="preserve">Réserves consolidées - Part du groupe</t>
  </si>
  <si>
    <t xml:space="preserve">4 928 354</t>
  </si>
  <si>
    <t xml:space="preserve">3 392 479</t>
  </si>
  <si>
    <t xml:space="preserve">Réserves consolidées - Part des minoritaires</t>
  </si>
  <si>
    <t xml:space="preserve">770 654</t>
  </si>
  <si>
    <t xml:space="preserve">702 385</t>
  </si>
  <si>
    <t xml:space="preserve">Gains et pertes comptabilisés directement en capitaux propres</t>
  </si>
  <si>
    <t xml:space="preserve">255 231</t>
  </si>
  <si>
    <t xml:space="preserve">226 815</t>
  </si>
  <si>
    <t xml:space="preserve">Gains et pertes comptabilisés directement en capitaux propres - Part</t>
  </si>
  <si>
    <t xml:space="preserve">du groupe</t>
  </si>
  <si>
    <t xml:space="preserve">des minoritaires</t>
  </si>
  <si>
    <t xml:space="preserve">Résultat net de l'exercice</t>
  </si>
  <si>
    <t xml:space="preserve">954 831</t>
  </si>
  <si>
    <t xml:space="preserve">966 041</t>
  </si>
  <si>
    <t xml:space="preserve">Résultat net de l'exercice - Part du groupe</t>
  </si>
  <si>
    <t xml:space="preserve">862 256</t>
  </si>
  <si>
    <t xml:space="preserve">875 878</t>
  </si>
  <si>
    <t xml:space="preserve">Résultat net de l'exercice - Part des minoritaires</t>
  </si>
  <si>
    <t xml:space="preserve">92 576</t>
  </si>
  <si>
    <t xml:space="preserve">90 163</t>
  </si>
  <si>
    <t xml:space="preserve">TOTAL PASSIF</t>
  </si>
  <si>
    <t xml:space="preserve">COMPTE DE PRODUITS ET CHARGES IFRS CONSOLIDÉS</t>
  </si>
  <si>
    <t xml:space="preserve">30/09/2024</t>
  </si>
  <si>
    <t xml:space="preserve">Intérêts, rémunérations et produits assimilés</t>
  </si>
  <si>
    <t xml:space="preserve">4 006 546</t>
  </si>
  <si>
    <t xml:space="preserve">3 775 156</t>
  </si>
  <si>
    <t xml:space="preserve">Intérêts, rémunérations et charges assimilés</t>
  </si>
  <si>
    <t xml:space="preserve">-1 521 193</t>
  </si>
  <si>
    <t xml:space="preserve">-1 569 801</t>
  </si>
  <si>
    <t xml:space="preserve">MARGE D'INTERETS</t>
  </si>
  <si>
    <t xml:space="preserve">2 485 353</t>
  </si>
  <si>
    <t xml:space="preserve">2 205 355</t>
  </si>
  <si>
    <t xml:space="preserve">Commissions (produits)</t>
  </si>
  <si>
    <t xml:space="preserve">885 720</t>
  </si>
  <si>
    <t xml:space="preserve">638 488</t>
  </si>
  <si>
    <t xml:space="preserve">Commissions (charges)</t>
  </si>
  <si>
    <t xml:space="preserve">-504 937</t>
  </si>
  <si>
    <t xml:space="preserve">-352 775</t>
  </si>
  <si>
    <t xml:space="preserve">MARGE SUR COMMISSIONS</t>
  </si>
  <si>
    <t xml:space="preserve">380 783</t>
  </si>
  <si>
    <t xml:space="preserve">285 713</t>
  </si>
  <si>
    <t xml:space="preserve">Gains ou pertes nets résultants des couvertures de position nette</t>
  </si>
  <si>
    <t xml:space="preserve">Gains ou pertes nets sur instruments financiers à la juste valeur par</t>
  </si>
  <si>
    <t xml:space="preserve">résultat</t>
  </si>
  <si>
    <t xml:space="preserve">907 980</t>
  </si>
  <si>
    <t xml:space="preserve">790 408</t>
  </si>
  <si>
    <t xml:space="preserve">Gains ou pertes nets sur actifs/passifs de transaction</t>
  </si>
  <si>
    <t xml:space="preserve">290 902</t>
  </si>
  <si>
    <t xml:space="preserve">227 961</t>
  </si>
  <si>
    <t xml:space="preserve">Gains ou pertes nets sur autres actifs/passifs à la juste valeur par</t>
  </si>
  <si>
    <t xml:space="preserve">617 077</t>
  </si>
  <si>
    <t xml:space="preserve">562 447</t>
  </si>
  <si>
    <t xml:space="preserve">Gains ou pertes nets des instruments financiers à la juste valeur par</t>
  </si>
  <si>
    <t xml:space="preserve">capitaux propres</t>
  </si>
  <si>
    <t xml:space="preserve">35 518</t>
  </si>
  <si>
    <t xml:space="preserve">26 989</t>
  </si>
  <si>
    <t xml:space="preserve">Gains ou pertes nets sur instruments de dettes comptabilisés en</t>
  </si>
  <si>
    <t xml:space="preserve">capitaux propres recyclables</t>
  </si>
  <si>
    <t xml:space="preserve">Rémunération des instruments de capitaux propres comptabilisés en</t>
  </si>
  <si>
    <t xml:space="preserve">capitaux propres non recyclables(dividendes)</t>
  </si>
  <si>
    <t xml:space="preserve">Gains ou pertes nets des instruments financiers disponibles à la vente</t>
  </si>
  <si>
    <t xml:space="preserve">Gains ou pertes nets résultants de la décomptabilisation d'actifs</t>
  </si>
  <si>
    <t xml:space="preserve">financiers au coût amorti</t>
  </si>
  <si>
    <t xml:space="preserve">Gains ou pertes nets résultants du reclassement d'actifs financiers au</t>
  </si>
  <si>
    <t xml:space="preserve">coût amorti en actifs financiers à la JVR</t>
  </si>
  <si>
    <t xml:space="preserve">Gains ou pertes nets résultants du reclassement d'actifs financiers à la</t>
  </si>
  <si>
    <t xml:space="preserve">JV par KP en actifs financiers à la JVR</t>
  </si>
  <si>
    <t xml:space="preserve">Produits nets des activités d'assurance</t>
  </si>
  <si>
    <t xml:space="preserve">Produits des autres activités</t>
  </si>
  <si>
    <t xml:space="preserve">581 445</t>
  </si>
  <si>
    <t xml:space="preserve">477 346</t>
  </si>
  <si>
    <t xml:space="preserve">Charges des autres activités</t>
  </si>
  <si>
    <t xml:space="preserve">-350 157</t>
  </si>
  <si>
    <t xml:space="preserve">-249 225</t>
  </si>
  <si>
    <t xml:space="preserve">PRODUIT NET BANCAIRE</t>
  </si>
  <si>
    <t xml:space="preserve">4 040 921</t>
  </si>
  <si>
    <t xml:space="preserve">3 536 586</t>
  </si>
  <si>
    <t xml:space="preserve">Charges générales d'exploitation</t>
  </si>
  <si>
    <t xml:space="preserve">-1 558 638</t>
  </si>
  <si>
    <t xml:space="preserve">-1 392 909</t>
  </si>
  <si>
    <t xml:space="preserve">Dotations aux amortissements et aux dépréciations des immobilisations</t>
  </si>
  <si>
    <t xml:space="preserve">incorporelles et corporelles</t>
  </si>
  <si>
    <t xml:space="preserve">-173 641</t>
  </si>
  <si>
    <t xml:space="preserve">-146 629</t>
  </si>
  <si>
    <t xml:space="preserve">RESULTAT BRUT D'EXPLOITATION</t>
  </si>
  <si>
    <t xml:space="preserve">2 308 642</t>
  </si>
  <si>
    <t xml:space="preserve">1 997 048</t>
  </si>
  <si>
    <t xml:space="preserve">Coût du risque de crédit</t>
  </si>
  <si>
    <t xml:space="preserve">-818 042</t>
  </si>
  <si>
    <t xml:space="preserve">-808 126</t>
  </si>
  <si>
    <t xml:space="preserve">RESULTAT D'EXPLOITATION</t>
  </si>
  <si>
    <t xml:space="preserve">1 490 600</t>
  </si>
  <si>
    <t xml:space="preserve">1 188 922</t>
  </si>
  <si>
    <t xml:space="preserve">Quote-part du résultat net des entreprises associées et des</t>
  </si>
  <si>
    <t xml:space="preserve">coentreprises mises en équivalence</t>
  </si>
  <si>
    <t xml:space="preserve">48 710</t>
  </si>
  <si>
    <t xml:space="preserve">42 418</t>
  </si>
  <si>
    <t xml:space="preserve">Gains ou pertes nets sur autres actifs</t>
  </si>
  <si>
    <t xml:space="preserve">61 160</t>
  </si>
  <si>
    <t xml:space="preserve">-2 260</t>
  </si>
  <si>
    <t xml:space="preserve">Variations de valeurs des écarts d'acquisition</t>
  </si>
  <si>
    <t xml:space="preserve">RESULTAT AVANT IMPOTS</t>
  </si>
  <si>
    <t xml:space="preserve">1 600 471</t>
  </si>
  <si>
    <t xml:space="preserve">1 229 080</t>
  </si>
  <si>
    <t xml:space="preserve">Impôts sur les bénéfices</t>
  </si>
  <si>
    <t xml:space="preserve">-645 640</t>
  </si>
  <si>
    <t xml:space="preserve">-517 385</t>
  </si>
  <si>
    <t xml:space="preserve">Résultat net des d'impôts des activités arrêtées ou en cours de cession</t>
  </si>
  <si>
    <t xml:space="preserve">RESULTAT NET</t>
  </si>
  <si>
    <t xml:space="preserve">711 695</t>
  </si>
  <si>
    <t xml:space="preserve">Résultats Minoritaires</t>
  </si>
  <si>
    <t xml:space="preserve">54 475</t>
  </si>
  <si>
    <t xml:space="preserve">RESULTAT NET PART DU GROUPE</t>
  </si>
  <si>
    <t xml:space="preserve">657 220</t>
  </si>
  <si>
    <t xml:space="preserve">ACTIF</t>
  </si>
  <si>
    <t xml:space="preserve">Valeurs en caisse, Banques centrales, Trésor public, Service des</t>
  </si>
  <si>
    <t xml:space="preserve">chèques postaux</t>
  </si>
  <si>
    <t xml:space="preserve">2 276 082</t>
  </si>
  <si>
    <t xml:space="preserve">4 216 702</t>
  </si>
  <si>
    <t xml:space="preserve">Créances sur les établissements de crédit et assimilés</t>
  </si>
  <si>
    <t xml:space="preserve">5 918 800</t>
  </si>
  <si>
    <t xml:space="preserve">4 073 478</t>
  </si>
  <si>
    <t xml:space="preserve">3 769 845</t>
  </si>
  <si>
    <t xml:space="preserve">1 497 171</t>
  </si>
  <si>
    <t xml:space="preserve">2 148 954</t>
  </si>
  <si>
    <t xml:space="preserve">2 576 307</t>
  </si>
  <si>
    <t xml:space="preserve">Créances sur la clientèle</t>
  </si>
  <si>
    <t xml:space="preserve">75 364 675</t>
  </si>
  <si>
    <t xml:space="preserve">76 925 828</t>
  </si>
  <si>
    <t xml:space="preserve">19 066 160</t>
  </si>
  <si>
    <t xml:space="preserve">17 711 388</t>
  </si>
  <si>
    <t xml:space="preserve">- Crédits et financements participatifs à l'équipement</t>
  </si>
  <si>
    <t xml:space="preserve">14 705 304</t>
  </si>
  <si>
    <t xml:space="preserve">10 739 847</t>
  </si>
  <si>
    <t xml:space="preserve">29 891 352</t>
  </si>
  <si>
    <t xml:space="preserve">28 382 046</t>
  </si>
  <si>
    <t xml:space="preserve">11 701 859</t>
  </si>
  <si>
    <t xml:space="preserve">20 092 547</t>
  </si>
  <si>
    <t xml:space="preserve">Créances acquises par affacturage</t>
  </si>
  <si>
    <t xml:space="preserve">1 632 574</t>
  </si>
  <si>
    <t xml:space="preserve">1 542 098</t>
  </si>
  <si>
    <t xml:space="preserve">Titres de transaction et de placement</t>
  </si>
  <si>
    <t xml:space="preserve">14 820 657</t>
  </si>
  <si>
    <t xml:space="preserve">10 405 797</t>
  </si>
  <si>
    <t xml:space="preserve">7 155 092</t>
  </si>
  <si>
    <t xml:space="preserve">2 770 699</t>
  </si>
  <si>
    <t xml:space="preserve">65 000</t>
  </si>
  <si>
    <t xml:space="preserve">45 007</t>
  </si>
  <si>
    <t xml:space="preserve">7 600 566</t>
  </si>
  <si>
    <t xml:space="preserve">7 590 091</t>
  </si>
  <si>
    <t xml:space="preserve">Autres actifs</t>
  </si>
  <si>
    <t xml:space="preserve">3 821 973</t>
  </si>
  <si>
    <t xml:space="preserve">3 914 859</t>
  </si>
  <si>
    <t xml:space="preserve">Titres d'investissement</t>
  </si>
  <si>
    <t xml:space="preserve">3 272 532</t>
  </si>
  <si>
    <t xml:space="preserve">3 202 142</t>
  </si>
  <si>
    <t xml:space="preserve">6 206 523</t>
  </si>
  <si>
    <t xml:space="preserve">5 859 854</t>
  </si>
  <si>
    <t xml:space="preserve">Titres de participation et emplois assimilés</t>
  </si>
  <si>
    <t xml:space="preserve">2 419 085</t>
  </si>
  <si>
    <t xml:space="preserve">2 376 315</t>
  </si>
  <si>
    <t xml:space="preserve">1 971 026</t>
  </si>
  <si>
    <t xml:space="preserve">1 931 026</t>
  </si>
  <si>
    <t xml:space="preserve">448 059</t>
  </si>
  <si>
    <t xml:space="preserve">445 289</t>
  </si>
  <si>
    <t xml:space="preserve">Créances subordonnées</t>
  </si>
  <si>
    <t xml:space="preserve">Dépôts d'investissement et Wakala Bil Istithmar placés</t>
  </si>
  <si>
    <t xml:space="preserve">559 853</t>
  </si>
  <si>
    <t xml:space="preserve">560 017</t>
  </si>
  <si>
    <t xml:space="preserve">Immobilisations données en crédit-bail et en location</t>
  </si>
  <si>
    <t xml:space="preserve">Immobilisations données en Ijara</t>
  </si>
  <si>
    <t xml:space="preserve">356 122</t>
  </si>
  <si>
    <t xml:space="preserve">268 520</t>
  </si>
  <si>
    <t xml:space="preserve">1 404 294</t>
  </si>
  <si>
    <t xml:space="preserve">1 416 450</t>
  </si>
  <si>
    <t xml:space="preserve">Total de l'Actif</t>
  </si>
  <si>
    <t xml:space="preserve">118 053 172</t>
  </si>
  <si>
    <t xml:space="preserve">114 762 061</t>
  </si>
  <si>
    <t xml:space="preserve">PASSIF</t>
  </si>
  <si>
    <t xml:space="preserve">Banques centrales, Trésor public, Service des chèques postaux</t>
  </si>
  <si>
    <t xml:space="preserve">14 899 608</t>
  </si>
  <si>
    <t xml:space="preserve">13 531 143</t>
  </si>
  <si>
    <t xml:space="preserve">1 512 985</t>
  </si>
  <si>
    <t xml:space="preserve">605 290</t>
  </si>
  <si>
    <t xml:space="preserve">13 386 623</t>
  </si>
  <si>
    <t xml:space="preserve">12 925 853</t>
  </si>
  <si>
    <t xml:space="preserve">Dépôts de la clientèle</t>
  </si>
  <si>
    <t xml:space="preserve">77 856 881</t>
  </si>
  <si>
    <t xml:space="preserve">73 663 349</t>
  </si>
  <si>
    <t xml:space="preserve">50 977 666</t>
  </si>
  <si>
    <t xml:space="preserve">47 924 204</t>
  </si>
  <si>
    <t xml:space="preserve">- Comptes d'épargne</t>
  </si>
  <si>
    <t xml:space="preserve">11 989 868</t>
  </si>
  <si>
    <t xml:space="preserve">11 210 309</t>
  </si>
  <si>
    <t xml:space="preserve">12 379 604</t>
  </si>
  <si>
    <t xml:space="preserve">11 944 997</t>
  </si>
  <si>
    <t xml:space="preserve">2 509 742</t>
  </si>
  <si>
    <t xml:space="preserve">2 583 839</t>
  </si>
  <si>
    <t xml:space="preserve">Dettes envers la clientèle sur produits participatifs</t>
  </si>
  <si>
    <t xml:space="preserve">6 592 480</t>
  </si>
  <si>
    <t xml:space="preserve">7 952 152</t>
  </si>
  <si>
    <t xml:space="preserve">Autres passifs</t>
  </si>
  <si>
    <t xml:space="preserve">3 442 140</t>
  </si>
  <si>
    <t xml:space="preserve">5 281 006</t>
  </si>
  <si>
    <t xml:space="preserve">2 157 763</t>
  </si>
  <si>
    <t xml:space="preserve">2 038 765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</si>
  <si>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</si>
  <si>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</si>
  <si>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</si>
  <si>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4 378 816</t>
  </si>
  <si>
    <t xml:space="preserve">5 410 426</t>
  </si>
  <si>
    <t xml:space="preserve">Dépôts d'investissement et Wakala Bil Istithmar reçus</t>
  </si>
  <si>
    <t xml:space="preserve">Ecarts de réévaluation</t>
  </si>
  <si>
    <t xml:space="preserve">Réserves et primes liées au capital</t>
  </si>
  <si>
    <t xml:space="preserve">3 098 435</t>
  </si>
  <si>
    <t xml:space="preserve">2 028 708</t>
  </si>
  <si>
    <t xml:space="preserve">Capital</t>
  </si>
  <si>
    <t xml:space="preserve">- Actionnaires. Capital non versé (-)</t>
  </si>
  <si>
    <t xml:space="preserve">Report à nouveau (+/-)</t>
  </si>
  <si>
    <t xml:space="preserve">1 256 047</t>
  </si>
  <si>
    <t xml:space="preserve">956 741</t>
  </si>
  <si>
    <t xml:space="preserve">Résultats nets en instance d'affectation (+/-)</t>
  </si>
  <si>
    <t xml:space="preserve">Résultat net de l'exercice (+/-)</t>
  </si>
  <si>
    <t xml:space="preserve">810 439</t>
  </si>
  <si>
    <t xml:space="preserve">750 043</t>
  </si>
  <si>
    <t xml:space="preserve">Total du passif</t>
  </si>
  <si>
    <t xml:space="preserve">Libellé</t>
  </si>
  <si>
    <t xml:space="preserve">PRODUITS D'EXPLOITATION BANCAIRE</t>
  </si>
  <si>
    <t xml:space="preserve">5 272 154</t>
  </si>
  <si>
    <t xml:space="preserve">4 868 039</t>
  </si>
  <si>
    <t xml:space="preserve">Intérêts, rémunérations et produits assimilés sur opérations avec les</t>
  </si>
  <si>
    <t xml:space="preserve">établissements de crédit</t>
  </si>
  <si>
    <t xml:space="preserve">116 886</t>
  </si>
  <si>
    <t xml:space="preserve">122 646</t>
  </si>
  <si>
    <t xml:space="preserve">Intérêts et produits assimilés sur opérations avec la clientèle</t>
  </si>
  <si>
    <t xml:space="preserve">2 665 571</t>
  </si>
  <si>
    <t xml:space="preserve">2 653 456</t>
  </si>
  <si>
    <t xml:space="preserve">Intérêts et produits assimilés sur titres de créance</t>
  </si>
  <si>
    <t xml:space="preserve">234 783</t>
  </si>
  <si>
    <t xml:space="preserve">262 710</t>
  </si>
  <si>
    <t xml:space="preserve">Produits sur titres de propriété (1) et certificats de Sukuks</t>
  </si>
  <si>
    <t xml:space="preserve">393 440</t>
  </si>
  <si>
    <t xml:space="preserve">314 283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</si>
  <si>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</si>
  <si>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</si>
  <si>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</si>
  <si>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</si>
  <si>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692 063</t>
  </si>
  <si>
    <t xml:space="preserve">480 108</t>
  </si>
  <si>
    <t xml:space="preserve">Autres produits bancaires</t>
  </si>
  <si>
    <t xml:space="preserve">1 169 409</t>
  </si>
  <si>
    <t xml:space="preserve">1 034 836</t>
  </si>
  <si>
    <t xml:space="preserve">Transfert de charges sur dépôts d'investissement reçus</t>
  </si>
  <si>
    <t xml:space="preserve">CHARGES D'EXPLOITATION BANCAIRE</t>
  </si>
  <si>
    <t xml:space="preserve">2 052 644</t>
  </si>
  <si>
    <t xml:space="preserve">1 951 754</t>
  </si>
  <si>
    <t xml:space="preserve">Intérêts et charges assimilées sur opérations avec les établissements</t>
  </si>
  <si>
    <t xml:space="preserve">de crédit</t>
  </si>
  <si>
    <t xml:space="preserve">236 117</t>
  </si>
  <si>
    <t xml:space="preserve">242 537</t>
  </si>
  <si>
    <t xml:space="preserve">Intérêts et charges assimilées sur opérations avec la clientèle</t>
  </si>
  <si>
    <t xml:space="preserve">717 531</t>
  </si>
  <si>
    <t xml:space="preserve">764 433</t>
  </si>
  <si>
    <t xml:space="preserve">Intérêts et charges assimilées sur titres de créance émis</t>
  </si>
  <si>
    <t xml:space="preserve">176 395</t>
  </si>
  <si>
    <t xml:space="preserve">258 564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</si>
  <si>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</si>
  <si>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</si>
  <si>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</si>
  <si>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</si>
  <si>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922 600</t>
  </si>
  <si>
    <t xml:space="preserve">686 220</t>
  </si>
  <si>
    <t xml:space="preserve">Transfert de produits sur dépôts d'investissement reçus</t>
  </si>
  <si>
    <t xml:space="preserve">3 219 510</t>
  </si>
  <si>
    <t xml:space="preserve">2 916 285</t>
  </si>
  <si>
    <t xml:space="preserve">Produits d'exploitation non bancaire</t>
  </si>
  <si>
    <t xml:space="preserve">124 173</t>
  </si>
  <si>
    <t xml:space="preserve">13 152</t>
  </si>
  <si>
    <t xml:space="preserve">Charges d'exploitation non bancaire</t>
  </si>
  <si>
    <t xml:space="preserve">8 720</t>
  </si>
  <si>
    <t xml:space="preserve">9 250</t>
  </si>
  <si>
    <t xml:space="preserve">CHARGES GENERALES D'EXPLOITATION</t>
  </si>
  <si>
    <t xml:space="preserve">1 371 803</t>
  </si>
  <si>
    <t xml:space="preserve">1 269 102</t>
  </si>
  <si>
    <t xml:space="preserve">Charges de personnel</t>
  </si>
  <si>
    <t xml:space="preserve">550 443</t>
  </si>
  <si>
    <t xml:space="preserve">516 385</t>
  </si>
  <si>
    <t xml:space="preserve">Impôts et taxes</t>
  </si>
  <si>
    <t xml:space="preserve">29 175</t>
  </si>
  <si>
    <t xml:space="preserve">26 072</t>
  </si>
  <si>
    <t xml:space="preserve">Charges externes</t>
  </si>
  <si>
    <t xml:space="preserve">625 611</t>
  </si>
  <si>
    <t xml:space="preserve">577 606</t>
  </si>
  <si>
    <t xml:space="preserve">Autres charges générales d'exploitation</t>
  </si>
  <si>
    <t xml:space="preserve">31 488</t>
  </si>
  <si>
    <t xml:space="preserve">29 274</t>
  </si>
  <si>
    <t xml:space="preserve">Dotations aux amortissements et aux provisions des immobilisations</t>
  </si>
  <si>
    <t xml:space="preserve">135 086</t>
  </si>
  <si>
    <t xml:space="preserve">119 765</t>
  </si>
  <si>
    <t xml:space="preserve">DOTATIONS AUX PROVISIONS ET PERTES SUR CREANCES</t>
  </si>
  <si>
    <t xml:space="preserve">IRRECOUVRABLES</t>
  </si>
  <si>
    <t xml:space="preserve">929 881</t>
  </si>
  <si>
    <t xml:space="preserve">809 834</t>
  </si>
  <si>
    <t xml:space="preserve">Dotations aux provisions pour créances et engagements par signature</t>
  </si>
  <si>
    <t xml:space="preserve">en souffrance</t>
  </si>
  <si>
    <t xml:space="preserve">679 664</t>
  </si>
  <si>
    <t xml:space="preserve">621 456</t>
  </si>
  <si>
    <t xml:space="preserve">Pertes sur créances irrécouvrables</t>
  </si>
  <si>
    <t xml:space="preserve">9 076</t>
  </si>
  <si>
    <t xml:space="preserve">10 051</t>
  </si>
  <si>
    <t xml:space="preserve">Autres dotations aux provisions</t>
  </si>
  <si>
    <t xml:space="preserve">241 142</t>
  </si>
  <si>
    <t xml:space="preserve">178 327</t>
  </si>
  <si>
    <t xml:space="preserve">REPRISES DE PROVISIONS ET RECUPERATIONS SUR CREANCES</t>
  </si>
  <si>
    <t xml:space="preserve">AMORTIES</t>
  </si>
  <si>
    <t xml:space="preserve">327 852</t>
  </si>
  <si>
    <t xml:space="preserve">228 676</t>
  </si>
  <si>
    <t xml:space="preserve">Reprises de provisions pour créances et engagements par signature en</t>
  </si>
  <si>
    <t xml:space="preserve">souffrance</t>
  </si>
  <si>
    <t xml:space="preserve">201 469</t>
  </si>
  <si>
    <t xml:space="preserve">194 775</t>
  </si>
  <si>
    <t xml:space="preserve">Récupérations sur créances amorties</t>
  </si>
  <si>
    <t xml:space="preserve">4 273</t>
  </si>
  <si>
    <t xml:space="preserve">7 135</t>
  </si>
  <si>
    <t xml:space="preserve">Autres reprises de provisions</t>
  </si>
  <si>
    <t xml:space="preserve">122 110</t>
  </si>
  <si>
    <t xml:space="preserve">26 766</t>
  </si>
  <si>
    <t xml:space="preserve">RESULTAT COURANT</t>
  </si>
  <si>
    <t xml:space="preserve">1 361 130</t>
  </si>
  <si>
    <t xml:space="preserve">1 069 926</t>
  </si>
  <si>
    <t xml:space="preserve">Produits non courants</t>
  </si>
  <si>
    <t xml:space="preserve">Charges non courantes</t>
  </si>
  <si>
    <t xml:space="preserve">76 068</t>
  </si>
  <si>
    <t xml:space="preserve">82 613</t>
  </si>
  <si>
    <t xml:space="preserve">1 285 062</t>
  </si>
  <si>
    <t xml:space="preserve">987 344</t>
  </si>
  <si>
    <t xml:space="preserve">Impôts sur les résultats</t>
  </si>
  <si>
    <t xml:space="preserve">474 623</t>
  </si>
  <si>
    <t xml:space="preserve">375 788</t>
  </si>
  <si>
    <t xml:space="preserve">RESULTAT NET DE L'EXERCICE</t>
  </si>
  <si>
    <t xml:space="preserve">611 556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</si>
</sst>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17</v>
      </c>
    </row>
    <row r="20" customFormat="false" ht="14.25" hidden="false" customHeight="false" outlineLevel="0" collapsed="false">
      <c r="A20" s="0" t="s">
        <v>18</v>
      </c>
    </row>
    <row r="21" customFormat="false" ht="14.25" hidden="false" customHeight="false" outlineLevel="0" collapsed="false">
      <c r="A21" s="0" t="s">
        <v>19</v>
      </c>
    </row>
    <row r="22" customFormat="false" ht="14.25" hidden="false" customHeight="false" outlineLevel="0" collapsed="false">
      <c r="A22" s="0" t="s">
        <v>20</v>
      </c>
    </row>
    <row r="23" customFormat="false" ht="14.25" hidden="false" customHeight="false" outlineLevel="0" collapsed="false">
      <c r="A23" s="0" t="s">
        <v>21</v>
      </c>
    </row>
    <row r="24" customFormat="false" ht="14.25" hidden="false" customHeight="false" outlineLevel="0" collapsed="false">
      <c r="A24" s="0" t="s">
        <v>22</v>
      </c>
    </row>
    <row r="25" customFormat="false" ht="14.25" hidden="false" customHeight="false" outlineLevel="0" collapsed="false">
      <c r="A25" s="0" t="s">
        <v>23</v>
      </c>
    </row>
    <row r="26" customFormat="false" ht="14.25" hidden="false" customHeight="false" outlineLevel="0" collapsed="false">
      <c r="A26" s="0" t="s">
        <v>24</v>
      </c>
    </row>
    <row r="27" customFormat="false" ht="14.25" hidden="false" customHeight="false" outlineLevel="0" collapsed="false">
      <c r="A27" s="0" t="s">
        <v>25</v>
      </c>
    </row>
    <row r="28" customFormat="false" ht="14.25" hidden="false" customHeight="false" outlineLevel="0" collapsed="false">
      <c r="A28" s="0" t="s">
        <v>26</v>
      </c>
    </row>
    <row r="29" customFormat="false" ht="14.25" hidden="false" customHeight="false" outlineLevel="0" collapsed="false">
      <c r="A29" s="0" t="s">
        <v>27</v>
      </c>
    </row>
    <row r="30" customFormat="false" ht="14.25" hidden="false" customHeight="false" outlineLevel="0" collapsed="false">
      <c r="A30" s="0" t="s">
        <v>28</v>
      </c>
    </row>
    <row r="31" customFormat="false" ht="14.25" hidden="false" customHeight="false" outlineLevel="0" collapsed="false">
      <c r="A31" s="0" t="s">
        <v>29</v>
      </c>
    </row>
    <row r="32" customFormat="false" ht="14.25" hidden="false" customHeight="false" outlineLevel="0" collapsed="false">
      <c r="A32" s="0" t="s">
        <v>30</v>
      </c>
    </row>
    <row r="33" customFormat="false" ht="14.25" hidden="false" customHeight="false" outlineLevel="0" collapsed="false">
      <c r="A33" s="0" t="s">
        <v>31</v>
      </c>
    </row>
    <row r="34" customFormat="false" ht="14.25" hidden="false" customHeight="false" outlineLevel="0" collapsed="false">
      <c r="A34" s="0" t="s">
        <v>32</v>
      </c>
    </row>
    <row r="35" customFormat="false" ht="14.25" hidden="false" customHeight="false" outlineLevel="0" collapsed="false">
      <c r="A35" s="0" t="s">
        <v>33</v>
      </c>
    </row>
    <row r="36" customFormat="false" ht="14.25" hidden="false" customHeight="false" outlineLevel="0" collapsed="false">
      <c r="A36" s="0" t="s">
        <v>34</v>
      </c>
    </row>
    <row r="37" customFormat="false" ht="14.25" hidden="false" customHeight="false" outlineLevel="0" collapsed="false">
      <c r="A37" s="0" t="s">
        <v>35</v>
      </c>
    </row>
    <row r="38" customFormat="false" ht="14.25" hidden="false" customHeight="false" outlineLevel="0" collapsed="false">
      <c r="A38" s="0" t="s">
        <v>36</v>
      </c>
    </row>
    <row r="39" customFormat="false" ht="14.25" hidden="false" customHeight="false" outlineLevel="0" collapsed="false">
      <c r="A39" s="0" t="s">
        <v>16</v>
      </c>
    </row>
    <row r="40" customFormat="false" ht="14.25" hidden="false" customHeight="false" outlineLevel="0" collapsed="false">
      <c r="A40" s="0" t="s">
        <v>16</v>
      </c>
    </row>
    <row r="41" customFormat="false" ht="14.25" hidden="false" customHeight="false" outlineLevel="0" collapsed="false">
      <c r="A41" s="0" t="s">
        <v>37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16</v>
      </c>
    </row>
    <row r="44" customFormat="false" ht="14.25" hidden="false" customHeight="false" outlineLevel="0" collapsed="false">
      <c r="A44" s="0" t="s">
        <v>38</v>
      </c>
    </row>
    <row r="45" customFormat="false" ht="14.25" hidden="false" customHeight="false" outlineLevel="0" collapsed="false">
      <c r="A45" s="0" t="s">
        <v>39</v>
      </c>
    </row>
    <row r="46" customFormat="false" ht="14.25" hidden="false" customHeight="false" outlineLevel="0" collapsed="false">
      <c r="A46" s="0" t="s">
        <v>40</v>
      </c>
    </row>
    <row r="47" customFormat="false" ht="14.25" hidden="false" customHeight="false" outlineLevel="0" collapsed="false">
      <c r="A47" s="0" t="s">
        <v>41</v>
      </c>
    </row>
    <row r="48" customFormat="false" ht="14.25" hidden="false" customHeight="false" outlineLevel="0" collapsed="false">
      <c r="A48" s="0" t="s">
        <v>42</v>
      </c>
    </row>
    <row r="49" customFormat="false" ht="14.25" hidden="false" customHeight="false" outlineLevel="0" collapsed="false">
      <c r="A49" s="0" t="s">
        <v>43</v>
      </c>
    </row>
    <row r="50" customFormat="false" ht="14.25" hidden="false" customHeight="false" outlineLevel="0" collapsed="false">
      <c r="A50" s="0" t="s">
        <v>44</v>
      </c>
    </row>
    <row r="51" customFormat="false" ht="14.25" hidden="false" customHeight="false" outlineLevel="0" collapsed="false">
      <c r="A51" s="0" t="s">
        <v>45</v>
      </c>
    </row>
    <row r="52" customFormat="false" ht="14.25" hidden="false" customHeight="false" outlineLevel="0" collapsed="false">
      <c r="A52" s="0" t="s">
        <v>46</v>
      </c>
    </row>
    <row r="53" customFormat="false" ht="14.25" hidden="false" customHeight="false" outlineLevel="0" collapsed="false">
      <c r="A53" s="0" t="s">
        <v>47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48</v>
      </c>
    </row>
    <row r="57" customFormat="false" ht="14.25" hidden="false" customHeight="false" outlineLevel="0" collapsed="false">
      <c r="A57" s="0" t="s">
        <v>49</v>
      </c>
    </row>
    <row r="58" customFormat="false" ht="14.25" hidden="false" customHeight="false" outlineLevel="0" collapsed="false">
      <c r="A58" s="0" t="s">
        <v>50</v>
      </c>
    </row>
    <row r="59" customFormat="false" ht="14.25" hidden="false" customHeight="false" outlineLevel="0" collapsed="false">
      <c r="A59" s="0" t="s">
        <v>51</v>
      </c>
    </row>
    <row r="60" customFormat="false" ht="14.25" hidden="false" customHeight="false" outlineLevel="0" collapsed="false">
      <c r="A60" s="0" t="s">
        <v>52</v>
      </c>
    </row>
    <row r="61" customFormat="false" ht="14.25" hidden="false" customHeight="false" outlineLevel="0" collapsed="false">
      <c r="A61" s="0" t="s">
        <v>53</v>
      </c>
    </row>
    <row r="62" customFormat="false" ht="14.25" hidden="false" customHeight="false" outlineLevel="0" collapsed="false">
      <c r="A62" s="0" t="s">
        <v>54</v>
      </c>
    </row>
    <row r="63" customFormat="false" ht="14.25" hidden="false" customHeight="false" outlineLevel="0" collapsed="false">
      <c r="A63" s="0" t="s">
        <v>55</v>
      </c>
    </row>
    <row r="64" customFormat="false" ht="14.25" hidden="false" customHeight="false" outlineLevel="0" collapsed="false">
      <c r="A64" s="0" t="s">
        <v>56</v>
      </c>
    </row>
    <row r="65" customFormat="false" ht="14.25" hidden="false" customHeight="false" outlineLevel="0" collapsed="false">
      <c r="A65" s="0" t="s">
        <v>57</v>
      </c>
    </row>
    <row r="66" customFormat="false" ht="14.25" hidden="false" customHeight="false" outlineLevel="0" collapsed="false">
      <c r="A66" s="0" t="s">
        <v>58</v>
      </c>
    </row>
    <row r="67" customFormat="false" ht="14.25" hidden="false" customHeight="false" outlineLevel="0" collapsed="false">
      <c r="A67" s="0" t="s">
        <v>59</v>
      </c>
    </row>
    <row r="68" customFormat="false" ht="14.25" hidden="false" customHeight="false" outlineLevel="0" collapsed="false">
      <c r="A68" s="0" t="s">
        <v>60</v>
      </c>
    </row>
    <row r="69" customFormat="false" ht="14.25" hidden="false" customHeight="false" outlineLevel="0" collapsed="false">
      <c r="A69" s="0" t="s">
        <v>61</v>
      </c>
    </row>
    <row r="70" customFormat="false" ht="14.25" hidden="false" customHeight="false" outlineLevel="0" collapsed="false">
      <c r="A70" s="0" t="s">
        <v>61</v>
      </c>
    </row>
    <row r="71" customFormat="false" ht="14.25" hidden="false" customHeight="false" outlineLevel="0" collapsed="false">
      <c r="A71" s="0" t="s">
        <v>62</v>
      </c>
    </row>
    <row r="72" customFormat="false" ht="14.25" hidden="false" customHeight="false" outlineLevel="0" collapsed="false">
      <c r="A72" s="0" t="s">
        <v>63</v>
      </c>
    </row>
    <row r="73" customFormat="false" ht="14.25" hidden="false" customHeight="false" outlineLevel="0" collapsed="false">
      <c r="A73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56"/>
  </cols>
  <sheetData>
    <row r="1" customFormat="false" ht="14.25" hidden="false" customHeight="false" outlineLevel="0" collapsed="false">
      <c r="A1" s="0" t="s">
        <v>65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66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67</v>
      </c>
    </row>
    <row r="8" customFormat="false" ht="14.25" hidden="false" customHeight="false" outlineLevel="0" collapsed="false">
      <c r="A8" s="0" t="s">
        <v>16</v>
      </c>
    </row>
    <row r="9" customFormat="false" ht="14.25" hidden="false" customHeight="false" outlineLevel="0" collapsed="false">
      <c r="A9" s="0" t="s">
        <v>16</v>
      </c>
    </row>
    <row r="10" customFormat="false" ht="14.25" hidden="false" customHeight="false" outlineLevel="0" collapsed="false">
      <c r="A10" s="0" t="s">
        <v>68</v>
      </c>
    </row>
    <row r="11" customFormat="false" ht="14.25" hidden="false" customHeight="false" outlineLevel="0" collapsed="false">
      <c r="A11" s="0" t="s">
        <v>16</v>
      </c>
    </row>
    <row r="12" customFormat="false" ht="14.25" hidden="false" customHeight="false" outlineLevel="0" collapsed="false">
      <c r="A12" s="0" t="s">
        <v>16</v>
      </c>
    </row>
    <row r="13" customFormat="false" ht="14.25" hidden="false" customHeight="false" outlineLevel="0" collapsed="false">
      <c r="A13" s="0" t="s">
        <v>69</v>
      </c>
    </row>
    <row r="14" customFormat="false" ht="14.25" hidden="false" customHeight="false" outlineLevel="0" collapsed="false">
      <c r="A14" s="0" t="s">
        <v>16</v>
      </c>
    </row>
    <row r="15" customFormat="false" ht="14.25" hidden="false" customHeight="false" outlineLevel="0" collapsed="false">
      <c r="A15" s="0" t="s">
        <v>16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70</v>
      </c>
    </row>
    <row r="20" customFormat="false" ht="14.25" hidden="false" customHeight="false" outlineLevel="0" collapsed="false">
      <c r="A20" s="0" t="s">
        <v>71</v>
      </c>
    </row>
    <row r="21" customFormat="false" ht="14.25" hidden="false" customHeight="false" outlineLevel="0" collapsed="false">
      <c r="A21" s="0" t="s">
        <v>72</v>
      </c>
    </row>
    <row r="22" customFormat="false" ht="14.25" hidden="false" customHeight="false" outlineLevel="0" collapsed="false">
      <c r="A22" s="0" t="s">
        <v>73</v>
      </c>
    </row>
    <row r="23" customFormat="false" ht="14.25" hidden="false" customHeight="false" outlineLevel="0" collapsed="false">
      <c r="A23" s="0" t="s">
        <v>74</v>
      </c>
    </row>
    <row r="24" customFormat="false" ht="14.25" hidden="false" customHeight="false" outlineLevel="0" collapsed="false">
      <c r="A24" s="0" t="s">
        <v>75</v>
      </c>
    </row>
    <row r="25" customFormat="false" ht="14.25" hidden="false" customHeight="false" outlineLevel="0" collapsed="false">
      <c r="A25" s="0" t="s">
        <v>76</v>
      </c>
    </row>
    <row r="26" customFormat="false" ht="14.25" hidden="false" customHeight="false" outlineLevel="0" collapsed="false">
      <c r="A26" s="0" t="s">
        <v>77</v>
      </c>
    </row>
    <row r="27" customFormat="false" ht="14.25" hidden="false" customHeight="false" outlineLevel="0" collapsed="false">
      <c r="A27" s="0" t="s">
        <v>78</v>
      </c>
    </row>
    <row r="28" customFormat="false" ht="14.25" hidden="false" customHeight="false" outlineLevel="0" collapsed="false">
      <c r="A28" s="0" t="s">
        <v>79</v>
      </c>
    </row>
    <row r="29" customFormat="false" ht="14.25" hidden="false" customHeight="false" outlineLevel="0" collapsed="false">
      <c r="A29" s="0" t="s">
        <v>16</v>
      </c>
    </row>
    <row r="30" customFormat="false" ht="14.25" hidden="false" customHeight="false" outlineLevel="0" collapsed="false">
      <c r="A30" s="0" t="s">
        <v>16</v>
      </c>
    </row>
    <row r="31" customFormat="false" ht="14.25" hidden="false" customHeight="false" outlineLevel="0" collapsed="false">
      <c r="A31" s="0" t="s">
        <v>80</v>
      </c>
    </row>
    <row r="32" customFormat="false" ht="14.25" hidden="false" customHeight="false" outlineLevel="0" collapsed="false">
      <c r="A32" s="0" t="s">
        <v>81</v>
      </c>
    </row>
    <row r="33" customFormat="false" ht="14.25" hidden="false" customHeight="false" outlineLevel="0" collapsed="false">
      <c r="A33" s="0" t="s">
        <v>82</v>
      </c>
    </row>
    <row r="34" customFormat="false" ht="14.25" hidden="false" customHeight="false" outlineLevel="0" collapsed="false">
      <c r="A34" s="0" t="s">
        <v>83</v>
      </c>
    </row>
    <row r="35" customFormat="false" ht="14.25" hidden="false" customHeight="false" outlineLevel="0" collapsed="false">
      <c r="A35" s="0" t="s">
        <v>84</v>
      </c>
    </row>
    <row r="36" customFormat="false" ht="14.25" hidden="false" customHeight="false" outlineLevel="0" collapsed="false">
      <c r="A36" s="0" t="s">
        <v>85</v>
      </c>
    </row>
    <row r="37" customFormat="false" ht="14.25" hidden="false" customHeight="false" outlineLevel="0" collapsed="false">
      <c r="A37" s="0" t="s">
        <v>86</v>
      </c>
    </row>
    <row r="38" customFormat="false" ht="14.25" hidden="false" customHeight="false" outlineLevel="0" collapsed="false">
      <c r="A38" s="0" t="s">
        <v>87</v>
      </c>
    </row>
    <row r="39" customFormat="false" ht="14.25" hidden="false" customHeight="false" outlineLevel="0" collapsed="false">
      <c r="A39" s="0" t="s">
        <v>88</v>
      </c>
    </row>
    <row r="40" customFormat="false" ht="14.25" hidden="false" customHeight="false" outlineLevel="0" collapsed="false">
      <c r="A40" s="0" t="s">
        <v>89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90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91</v>
      </c>
    </row>
    <row r="47" customFormat="false" ht="14.25" hidden="false" customHeight="false" outlineLevel="0" collapsed="false">
      <c r="A47" s="0" t="s">
        <v>92</v>
      </c>
    </row>
    <row r="48" customFormat="false" ht="14.25" hidden="false" customHeight="false" outlineLevel="0" collapsed="false">
      <c r="A48" s="0" t="s">
        <v>93</v>
      </c>
    </row>
    <row r="49" customFormat="false" ht="14.25" hidden="false" customHeight="false" outlineLevel="0" collapsed="false">
      <c r="A49" s="0" t="s">
        <v>94</v>
      </c>
    </row>
    <row r="50" customFormat="false" ht="14.25" hidden="false" customHeight="false" outlineLevel="0" collapsed="false">
      <c r="A50" s="0" t="s">
        <v>16</v>
      </c>
    </row>
    <row r="51" customFormat="false" ht="14.25" hidden="false" customHeight="false" outlineLevel="0" collapsed="false">
      <c r="A51" s="0" t="s">
        <v>16</v>
      </c>
    </row>
    <row r="52" customFormat="false" ht="14.25" hidden="false" customHeight="false" outlineLevel="0" collapsed="false">
      <c r="A52" s="0" t="s">
        <v>95</v>
      </c>
    </row>
    <row r="53" customFormat="false" ht="14.25" hidden="false" customHeight="false" outlineLevel="0" collapsed="false">
      <c r="A53" s="0" t="s">
        <v>96</v>
      </c>
    </row>
    <row r="54" customFormat="false" ht="14.25" hidden="false" customHeight="false" outlineLevel="0" collapsed="false">
      <c r="A54" s="0" t="s">
        <v>97</v>
      </c>
    </row>
    <row r="55" customFormat="false" ht="14.25" hidden="false" customHeight="false" outlineLevel="0" collapsed="false">
      <c r="A55" s="0" t="s">
        <v>98</v>
      </c>
    </row>
    <row r="56" customFormat="false" ht="14.25" hidden="false" customHeight="false" outlineLevel="0" collapsed="false">
      <c r="A56" s="0" t="s">
        <v>99</v>
      </c>
    </row>
    <row r="57" customFormat="false" ht="14.25" hidden="false" customHeight="false" outlineLevel="0" collapsed="false">
      <c r="A57" s="0" t="s">
        <v>100</v>
      </c>
    </row>
    <row r="58" customFormat="false" ht="14.25" hidden="false" customHeight="false" outlineLevel="0" collapsed="false">
      <c r="A58" s="0" t="s">
        <v>101</v>
      </c>
    </row>
    <row r="59" customFormat="false" ht="14.25" hidden="false" customHeight="false" outlineLevel="0" collapsed="false">
      <c r="A59" s="0" t="s">
        <v>102</v>
      </c>
    </row>
    <row r="60" customFormat="false" ht="14.25" hidden="false" customHeight="false" outlineLevel="0" collapsed="false">
      <c r="A60" s="0" t="s">
        <v>103</v>
      </c>
    </row>
    <row r="61" customFormat="false" ht="14.25" hidden="false" customHeight="false" outlineLevel="0" collapsed="false">
      <c r="A61" s="0" t="s">
        <v>104</v>
      </c>
    </row>
    <row r="62" customFormat="false" ht="14.25" hidden="false" customHeight="false" outlineLevel="0" collapsed="false">
      <c r="A62" s="0" t="s">
        <v>105</v>
      </c>
    </row>
    <row r="63" customFormat="false" ht="14.25" hidden="false" customHeight="false" outlineLevel="0" collapsed="false">
      <c r="A63" s="0" t="s">
        <v>106</v>
      </c>
    </row>
    <row r="64" customFormat="false" ht="14.25" hidden="false" customHeight="false" outlineLevel="0" collapsed="false">
      <c r="A64" s="0" t="s">
        <v>107</v>
      </c>
    </row>
    <row r="65" customFormat="false" ht="14.25" hidden="false" customHeight="false" outlineLevel="0" collapsed="false">
      <c r="A65" s="0" t="s">
        <v>108</v>
      </c>
    </row>
    <row r="66" customFormat="false" ht="14.25" hidden="false" customHeight="false" outlineLevel="0" collapsed="false">
      <c r="A66" s="0" t="s">
        <v>109</v>
      </c>
    </row>
    <row r="67" customFormat="false" ht="14.25" hidden="false" customHeight="false" outlineLevel="0" collapsed="false">
      <c r="A67" s="0" t="s">
        <v>110</v>
      </c>
    </row>
    <row r="68" customFormat="false" ht="14.25" hidden="false" customHeight="false" outlineLevel="0" collapsed="false">
      <c r="A68" s="0" t="s">
        <v>111</v>
      </c>
    </row>
    <row r="69" customFormat="false" ht="14.25" hidden="false" customHeight="false" outlineLevel="0" collapsed="false">
      <c r="A69" s="0" t="s">
        <v>112</v>
      </c>
    </row>
    <row r="70" customFormat="false" ht="14.25" hidden="false" customHeight="false" outlineLevel="0" collapsed="false">
      <c r="A70" s="0" t="s">
        <v>113</v>
      </c>
    </row>
    <row r="71" customFormat="false" ht="14.25" hidden="false" customHeight="false" outlineLevel="0" collapsed="false">
      <c r="A71" s="0" t="s">
        <v>114</v>
      </c>
    </row>
    <row r="72" customFormat="false" ht="14.25" hidden="false" customHeight="false" outlineLevel="0" collapsed="false">
      <c r="A72" s="0" t="s">
        <v>115</v>
      </c>
    </row>
    <row r="73" customFormat="false" ht="14.25" hidden="false" customHeight="false" outlineLevel="0" collapsed="false">
      <c r="A73" s="0" t="s">
        <v>116</v>
      </c>
    </row>
    <row r="74" customFormat="false" ht="14.25" hidden="false" customHeight="false" outlineLevel="0" collapsed="false">
      <c r="A74" s="0" t="s">
        <v>117</v>
      </c>
    </row>
    <row r="75" customFormat="false" ht="14.25" hidden="false" customHeight="false" outlineLevel="0" collapsed="false">
      <c r="A75" s="0" t="s">
        <v>114</v>
      </c>
    </row>
    <row r="76" customFormat="false" ht="14.25" hidden="false" customHeight="false" outlineLevel="0" collapsed="false">
      <c r="A76" s="0" t="s">
        <v>115</v>
      </c>
    </row>
    <row r="77" customFormat="false" ht="14.25" hidden="false" customHeight="false" outlineLevel="0" collapsed="false">
      <c r="A77" s="0" t="s">
        <v>116</v>
      </c>
    </row>
    <row r="78" customFormat="false" ht="14.25" hidden="false" customHeight="false" outlineLevel="0" collapsed="false">
      <c r="A78" s="0" t="s">
        <v>118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16</v>
      </c>
    </row>
    <row r="81" customFormat="false" ht="14.25" hidden="false" customHeight="false" outlineLevel="0" collapsed="false">
      <c r="A81" s="0" t="s">
        <v>119</v>
      </c>
    </row>
    <row r="82" customFormat="false" ht="14.25" hidden="false" customHeight="false" outlineLevel="0" collapsed="false">
      <c r="A82" s="0" t="s">
        <v>120</v>
      </c>
    </row>
    <row r="83" customFormat="false" ht="14.25" hidden="false" customHeight="false" outlineLevel="0" collapsed="false">
      <c r="A83" s="0" t="s">
        <v>121</v>
      </c>
    </row>
    <row r="84" customFormat="false" ht="14.25" hidden="false" customHeight="false" outlineLevel="0" collapsed="false">
      <c r="A84" s="0" t="s">
        <v>122</v>
      </c>
    </row>
    <row r="85" customFormat="false" ht="14.25" hidden="false" customHeight="false" outlineLevel="0" collapsed="false">
      <c r="A85" s="0" t="s">
        <v>123</v>
      </c>
    </row>
    <row r="86" customFormat="false" ht="14.25" hidden="false" customHeight="false" outlineLevel="0" collapsed="false">
      <c r="A86" s="0" t="s">
        <v>124</v>
      </c>
    </row>
    <row r="87" customFormat="false" ht="14.25" hidden="false" customHeight="false" outlineLevel="0" collapsed="false">
      <c r="A87" s="0" t="s">
        <v>125</v>
      </c>
    </row>
    <row r="88" customFormat="false" ht="14.25" hidden="false" customHeight="false" outlineLevel="0" collapsed="false">
      <c r="A88" s="0" t="s">
        <v>126</v>
      </c>
    </row>
    <row r="89" customFormat="false" ht="14.25" hidden="false" customHeight="false" outlineLevel="0" collapsed="false">
      <c r="A89" s="0" t="s">
        <v>127</v>
      </c>
    </row>
    <row r="90" customFormat="false" ht="14.25" hidden="false" customHeight="false" outlineLevel="0" collapsed="false">
      <c r="A90" s="0" t="s">
        <v>128</v>
      </c>
    </row>
    <row r="91" customFormat="false" ht="14.25" hidden="false" customHeight="false" outlineLevel="0" collapsed="false">
      <c r="A91" s="0" t="s">
        <v>63</v>
      </c>
    </row>
    <row r="92" customFormat="false" ht="14.25" hidden="false" customHeight="false" outlineLevel="0" collapsed="false">
      <c r="A92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0.44"/>
  </cols>
  <sheetData>
    <row r="1" customFormat="false" ht="14.25" hidden="false" customHeight="false" outlineLevel="0" collapsed="false">
      <c r="A1" s="0" t="s">
        <v>129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130</v>
      </c>
    </row>
    <row r="4" customFormat="false" ht="14.25" hidden="false" customHeight="false" outlineLevel="0" collapsed="false">
      <c r="A4" s="0" t="s">
        <v>131</v>
      </c>
    </row>
    <row r="5" customFormat="false" ht="14.25" hidden="false" customHeight="false" outlineLevel="0" collapsed="false">
      <c r="A5" s="0" t="s">
        <v>132</v>
      </c>
    </row>
    <row r="6" customFormat="false" ht="14.25" hidden="false" customHeight="false" outlineLevel="0" collapsed="false">
      <c r="A6" s="0" t="s">
        <v>133</v>
      </c>
    </row>
    <row r="7" customFormat="false" ht="14.25" hidden="false" customHeight="false" outlineLevel="0" collapsed="false">
      <c r="A7" s="0" t="s">
        <v>134</v>
      </c>
    </row>
    <row r="8" customFormat="false" ht="14.25" hidden="false" customHeight="false" outlineLevel="0" collapsed="false">
      <c r="A8" s="0" t="s">
        <v>135</v>
      </c>
    </row>
    <row r="9" customFormat="false" ht="14.25" hidden="false" customHeight="false" outlineLevel="0" collapsed="false">
      <c r="A9" s="0" t="s">
        <v>136</v>
      </c>
    </row>
    <row r="10" customFormat="false" ht="14.25" hidden="false" customHeight="false" outlineLevel="0" collapsed="false">
      <c r="A10" s="0" t="s">
        <v>137</v>
      </c>
    </row>
    <row r="11" customFormat="false" ht="14.25" hidden="false" customHeight="false" outlineLevel="0" collapsed="false">
      <c r="A11" s="0" t="s">
        <v>138</v>
      </c>
    </row>
    <row r="12" customFormat="false" ht="14.25" hidden="false" customHeight="false" outlineLevel="0" collapsed="false">
      <c r="A12" s="0" t="s">
        <v>139</v>
      </c>
    </row>
    <row r="13" customFormat="false" ht="14.25" hidden="false" customHeight="false" outlineLevel="0" collapsed="false">
      <c r="A13" s="0" t="s">
        <v>140</v>
      </c>
    </row>
    <row r="14" customFormat="false" ht="14.25" hidden="false" customHeight="false" outlineLevel="0" collapsed="false">
      <c r="A14" s="0" t="s">
        <v>141</v>
      </c>
    </row>
    <row r="15" customFormat="false" ht="14.25" hidden="false" customHeight="false" outlineLevel="0" collapsed="false">
      <c r="A15" s="0" t="s">
        <v>142</v>
      </c>
    </row>
    <row r="16" customFormat="false" ht="14.25" hidden="false" customHeight="false" outlineLevel="0" collapsed="false">
      <c r="A16" s="0" t="s">
        <v>143</v>
      </c>
    </row>
    <row r="17" customFormat="false" ht="14.25" hidden="false" customHeight="false" outlineLevel="0" collapsed="false">
      <c r="A17" s="0" t="s">
        <v>144</v>
      </c>
    </row>
    <row r="18" customFormat="false" ht="14.25" hidden="false" customHeight="false" outlineLevel="0" collapsed="false">
      <c r="A18" s="0" t="s">
        <v>145</v>
      </c>
    </row>
    <row r="19" customFormat="false" ht="14.25" hidden="false" customHeight="false" outlineLevel="0" collapsed="false">
      <c r="A19" s="0" t="s">
        <v>146</v>
      </c>
    </row>
    <row r="20" customFormat="false" ht="14.25" hidden="false" customHeight="false" outlineLevel="0" collapsed="false">
      <c r="A20" s="0" t="s">
        <v>147</v>
      </c>
    </row>
    <row r="21" customFormat="false" ht="14.25" hidden="false" customHeight="false" outlineLevel="0" collapsed="false">
      <c r="A21" s="0" t="s">
        <v>148</v>
      </c>
    </row>
    <row r="22" customFormat="false" ht="14.25" hidden="false" customHeight="false" outlineLevel="0" collapsed="false">
      <c r="A22" s="0" t="s">
        <v>149</v>
      </c>
    </row>
    <row r="23" customFormat="false" ht="14.25" hidden="false" customHeight="false" outlineLevel="0" collapsed="false">
      <c r="A23" s="0" t="s">
        <v>16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150</v>
      </c>
    </row>
    <row r="26" customFormat="false" ht="14.25" hidden="false" customHeight="false" outlineLevel="0" collapsed="false">
      <c r="A26" s="0" t="s">
        <v>151</v>
      </c>
    </row>
    <row r="27" customFormat="false" ht="14.25" hidden="false" customHeight="false" outlineLevel="0" collapsed="false">
      <c r="A27" s="0" t="s">
        <v>152</v>
      </c>
    </row>
    <row r="28" customFormat="false" ht="14.25" hidden="false" customHeight="false" outlineLevel="0" collapsed="false">
      <c r="A28" s="0" t="s">
        <v>153</v>
      </c>
    </row>
    <row r="29" customFormat="false" ht="14.25" hidden="false" customHeight="false" outlineLevel="0" collapsed="false">
      <c r="A29" s="0" t="s">
        <v>154</v>
      </c>
    </row>
    <row r="30" customFormat="false" ht="14.25" hidden="false" customHeight="false" outlineLevel="0" collapsed="false">
      <c r="A30" s="0" t="s">
        <v>155</v>
      </c>
    </row>
    <row r="31" customFormat="false" ht="14.25" hidden="false" customHeight="false" outlineLevel="0" collapsed="false">
      <c r="A31" s="0" t="s">
        <v>156</v>
      </c>
    </row>
    <row r="32" customFormat="false" ht="14.25" hidden="false" customHeight="false" outlineLevel="0" collapsed="false">
      <c r="A32" s="0" t="s">
        <v>157</v>
      </c>
    </row>
    <row r="33" customFormat="false" ht="14.25" hidden="false" customHeight="false" outlineLevel="0" collapsed="false">
      <c r="A33" s="0" t="s">
        <v>151</v>
      </c>
    </row>
    <row r="34" customFormat="false" ht="14.25" hidden="false" customHeight="false" outlineLevel="0" collapsed="false">
      <c r="A34" s="0" t="s">
        <v>158</v>
      </c>
    </row>
    <row r="35" customFormat="false" ht="14.25" hidden="false" customHeight="false" outlineLevel="0" collapsed="false">
      <c r="A35" s="0" t="s">
        <v>159</v>
      </c>
    </row>
    <row r="36" customFormat="false" ht="14.25" hidden="false" customHeight="false" outlineLevel="0" collapsed="false">
      <c r="A36" s="0" t="s">
        <v>160</v>
      </c>
    </row>
    <row r="37" customFormat="false" ht="14.25" hidden="false" customHeight="false" outlineLevel="0" collapsed="false">
      <c r="A37" s="0" t="s">
        <v>161</v>
      </c>
    </row>
    <row r="38" customFormat="false" ht="14.25" hidden="false" customHeight="false" outlineLevel="0" collapsed="false">
      <c r="A38" s="0" t="s">
        <v>162</v>
      </c>
    </row>
    <row r="39" customFormat="false" ht="14.25" hidden="false" customHeight="false" outlineLevel="0" collapsed="false">
      <c r="A39" s="0" t="s">
        <v>163</v>
      </c>
    </row>
    <row r="40" customFormat="false" ht="14.25" hidden="false" customHeight="false" outlineLevel="0" collapsed="false">
      <c r="A40" s="0" t="s">
        <v>164</v>
      </c>
    </row>
    <row r="41" customFormat="false" ht="14.25" hidden="false" customHeight="false" outlineLevel="0" collapsed="false">
      <c r="A41" s="0" t="s">
        <v>165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166</v>
      </c>
    </row>
    <row r="44" customFormat="false" ht="14.25" hidden="false" customHeight="false" outlineLevel="0" collapsed="false">
      <c r="A44" s="0" t="s">
        <v>167</v>
      </c>
    </row>
    <row r="45" customFormat="false" ht="14.25" hidden="false" customHeight="false" outlineLevel="0" collapsed="false">
      <c r="A45" s="0" t="s">
        <v>162</v>
      </c>
    </row>
    <row r="46" customFormat="false" ht="14.25" hidden="false" customHeight="false" outlineLevel="0" collapsed="false">
      <c r="A46" s="0" t="s">
        <v>163</v>
      </c>
    </row>
    <row r="47" customFormat="false" ht="14.25" hidden="false" customHeight="false" outlineLevel="0" collapsed="false">
      <c r="A47" s="0" t="s">
        <v>168</v>
      </c>
    </row>
    <row r="48" customFormat="false" ht="14.25" hidden="false" customHeight="false" outlineLevel="0" collapsed="false">
      <c r="A48" s="0" t="s">
        <v>16</v>
      </c>
    </row>
    <row r="49" customFormat="false" ht="14.25" hidden="false" customHeight="false" outlineLevel="0" collapsed="false">
      <c r="A49" s="0" t="s">
        <v>16</v>
      </c>
    </row>
    <row r="50" customFormat="false" ht="14.25" hidden="false" customHeight="false" outlineLevel="0" collapsed="false">
      <c r="A50" s="0" t="s">
        <v>169</v>
      </c>
    </row>
    <row r="51" customFormat="false" ht="14.25" hidden="false" customHeight="false" outlineLevel="0" collapsed="false">
      <c r="A51" s="0" t="s">
        <v>170</v>
      </c>
    </row>
    <row r="52" customFormat="false" ht="14.25" hidden="false" customHeight="false" outlineLevel="0" collapsed="false">
      <c r="A52" s="0" t="s">
        <v>16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171</v>
      </c>
    </row>
    <row r="55" customFormat="false" ht="14.25" hidden="false" customHeight="false" outlineLevel="0" collapsed="false">
      <c r="A55" s="0" t="s">
        <v>172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173</v>
      </c>
    </row>
    <row r="59" customFormat="false" ht="14.25" hidden="false" customHeight="false" outlineLevel="0" collapsed="false">
      <c r="A59" s="0" t="s">
        <v>174</v>
      </c>
    </row>
    <row r="60" customFormat="false" ht="14.25" hidden="false" customHeight="false" outlineLevel="0" collapsed="false">
      <c r="A60" s="0" t="s">
        <v>16</v>
      </c>
    </row>
    <row r="61" customFormat="false" ht="14.25" hidden="false" customHeight="false" outlineLevel="0" collapsed="false">
      <c r="A61" s="0" t="s">
        <v>16</v>
      </c>
    </row>
    <row r="62" customFormat="false" ht="14.25" hidden="false" customHeight="false" outlineLevel="0" collapsed="false">
      <c r="A62" s="0" t="s">
        <v>175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176</v>
      </c>
    </row>
    <row r="66" customFormat="false" ht="14.25" hidden="false" customHeight="false" outlineLevel="0" collapsed="false">
      <c r="A66" s="0" t="s">
        <v>177</v>
      </c>
    </row>
    <row r="67" customFormat="false" ht="14.25" hidden="false" customHeight="false" outlineLevel="0" collapsed="false">
      <c r="A67" s="0" t="s">
        <v>178</v>
      </c>
    </row>
    <row r="68" customFormat="false" ht="14.25" hidden="false" customHeight="false" outlineLevel="0" collapsed="false">
      <c r="A68" s="0" t="s">
        <v>179</v>
      </c>
    </row>
    <row r="69" customFormat="false" ht="14.25" hidden="false" customHeight="false" outlineLevel="0" collapsed="false">
      <c r="A69" s="0" t="s">
        <v>180</v>
      </c>
    </row>
    <row r="70" customFormat="false" ht="14.25" hidden="false" customHeight="false" outlineLevel="0" collapsed="false">
      <c r="A70" s="0" t="s">
        <v>181</v>
      </c>
    </row>
    <row r="71" customFormat="false" ht="14.25" hidden="false" customHeight="false" outlineLevel="0" collapsed="false">
      <c r="A71" s="0" t="s">
        <v>182</v>
      </c>
    </row>
    <row r="72" customFormat="false" ht="14.25" hidden="false" customHeight="false" outlineLevel="0" collapsed="false">
      <c r="A72" s="0" t="s">
        <v>183</v>
      </c>
    </row>
    <row r="73" customFormat="false" ht="14.25" hidden="false" customHeight="false" outlineLevel="0" collapsed="false">
      <c r="A73" s="0" t="s">
        <v>184</v>
      </c>
    </row>
    <row r="74" customFormat="false" ht="14.25" hidden="false" customHeight="false" outlineLevel="0" collapsed="false">
      <c r="A74" s="0" t="s">
        <v>185</v>
      </c>
    </row>
    <row r="75" customFormat="false" ht="14.25" hidden="false" customHeight="false" outlineLevel="0" collapsed="false">
      <c r="A75" s="0" t="s">
        <v>186</v>
      </c>
    </row>
    <row r="76" customFormat="false" ht="14.25" hidden="false" customHeight="false" outlineLevel="0" collapsed="false">
      <c r="A76" s="0" t="s">
        <v>187</v>
      </c>
    </row>
    <row r="77" customFormat="false" ht="14.25" hidden="false" customHeight="false" outlineLevel="0" collapsed="false">
      <c r="A77" s="0" t="s">
        <v>188</v>
      </c>
    </row>
    <row r="78" customFormat="false" ht="14.25" hidden="false" customHeight="false" outlineLevel="0" collapsed="false">
      <c r="A78" s="0" t="s">
        <v>189</v>
      </c>
    </row>
    <row r="79" customFormat="false" ht="14.25" hidden="false" customHeight="false" outlineLevel="0" collapsed="false">
      <c r="A79" s="0" t="s">
        <v>190</v>
      </c>
    </row>
    <row r="80" customFormat="false" ht="14.25" hidden="false" customHeight="false" outlineLevel="0" collapsed="false">
      <c r="A80" s="0" t="s">
        <v>191</v>
      </c>
    </row>
    <row r="81" customFormat="false" ht="14.25" hidden="false" customHeight="false" outlineLevel="0" collapsed="false">
      <c r="A81" s="0" t="s">
        <v>192</v>
      </c>
    </row>
    <row r="82" customFormat="false" ht="14.25" hidden="false" customHeight="false" outlineLevel="0" collapsed="false">
      <c r="A82" s="0" t="s">
        <v>193</v>
      </c>
    </row>
    <row r="83" customFormat="false" ht="14.25" hidden="false" customHeight="false" outlineLevel="0" collapsed="false">
      <c r="A83" s="0" t="s">
        <v>194</v>
      </c>
    </row>
    <row r="84" customFormat="false" ht="14.25" hidden="false" customHeight="false" outlineLevel="0" collapsed="false">
      <c r="A84" s="0" t="s">
        <v>195</v>
      </c>
    </row>
    <row r="85" customFormat="false" ht="14.25" hidden="false" customHeight="false" outlineLevel="0" collapsed="false">
      <c r="A85" s="0" t="s">
        <v>196</v>
      </c>
    </row>
    <row r="86" customFormat="false" ht="14.25" hidden="false" customHeight="false" outlineLevel="0" collapsed="false">
      <c r="A86" s="0" t="s">
        <v>197</v>
      </c>
    </row>
    <row r="87" customFormat="false" ht="14.25" hidden="false" customHeight="false" outlineLevel="0" collapsed="false">
      <c r="A87" s="0" t="s">
        <v>198</v>
      </c>
    </row>
    <row r="88" customFormat="false" ht="14.25" hidden="false" customHeight="false" outlineLevel="0" collapsed="false">
      <c r="A88" s="0" t="s">
        <v>199</v>
      </c>
    </row>
    <row r="89" customFormat="false" ht="14.25" hidden="false" customHeight="false" outlineLevel="0" collapsed="false">
      <c r="A89" s="0" t="s">
        <v>200</v>
      </c>
    </row>
    <row r="90" customFormat="false" ht="14.25" hidden="false" customHeight="false" outlineLevel="0" collapsed="false">
      <c r="A90" s="0" t="s">
        <v>201</v>
      </c>
    </row>
    <row r="91" customFormat="false" ht="14.25" hidden="false" customHeight="false" outlineLevel="0" collapsed="false">
      <c r="A91" s="0" t="s">
        <v>202</v>
      </c>
    </row>
    <row r="92" customFormat="false" ht="14.25" hidden="false" customHeight="false" outlineLevel="0" collapsed="false">
      <c r="A92" s="0" t="s">
        <v>203</v>
      </c>
    </row>
    <row r="93" customFormat="false" ht="14.25" hidden="false" customHeight="false" outlineLevel="0" collapsed="false">
      <c r="A93" s="0" t="s">
        <v>204</v>
      </c>
    </row>
    <row r="94" customFormat="false" ht="14.25" hidden="false" customHeight="false" outlineLevel="0" collapsed="false">
      <c r="A94" s="0" t="s">
        <v>205</v>
      </c>
    </row>
    <row r="95" customFormat="false" ht="14.25" hidden="false" customHeight="false" outlineLevel="0" collapsed="false">
      <c r="A95" s="0" t="s">
        <v>206</v>
      </c>
    </row>
    <row r="96" customFormat="false" ht="14.25" hidden="false" customHeight="false" outlineLevel="0" collapsed="false">
      <c r="A96" s="0" t="s">
        <v>207</v>
      </c>
    </row>
    <row r="97" customFormat="false" ht="14.25" hidden="false" customHeight="false" outlineLevel="0" collapsed="false">
      <c r="A97" s="0" t="s">
        <v>208</v>
      </c>
    </row>
    <row r="98" customFormat="false" ht="14.25" hidden="false" customHeight="false" outlineLevel="0" collapsed="false">
      <c r="A98" s="0" t="s">
        <v>16</v>
      </c>
    </row>
    <row r="99" customFormat="false" ht="14.25" hidden="false" customHeight="false" outlineLevel="0" collapsed="false">
      <c r="A99" s="0" t="s">
        <v>16</v>
      </c>
    </row>
    <row r="100" customFormat="false" ht="14.25" hidden="false" customHeight="false" outlineLevel="0" collapsed="false">
      <c r="A100" s="0" t="s">
        <v>209</v>
      </c>
    </row>
    <row r="101" customFormat="false" ht="14.25" hidden="false" customHeight="false" outlineLevel="0" collapsed="false">
      <c r="A101" s="0" t="s">
        <v>210</v>
      </c>
    </row>
    <row r="102" customFormat="false" ht="14.25" hidden="false" customHeight="false" outlineLevel="0" collapsed="false">
      <c r="A102" s="0" t="s">
        <v>211</v>
      </c>
    </row>
    <row r="103" customFormat="false" ht="14.25" hidden="false" customHeight="false" outlineLevel="0" collapsed="false">
      <c r="A103" s="0" t="s">
        <v>212</v>
      </c>
    </row>
    <row r="104" customFormat="false" ht="14.25" hidden="false" customHeight="false" outlineLevel="0" collapsed="false">
      <c r="A104" s="0" t="s">
        <v>213</v>
      </c>
    </row>
    <row r="105" customFormat="false" ht="14.25" hidden="false" customHeight="false" outlineLevel="0" collapsed="false">
      <c r="A105" s="0" t="s">
        <v>214</v>
      </c>
    </row>
    <row r="106" customFormat="false" ht="14.25" hidden="false" customHeight="false" outlineLevel="0" collapsed="false">
      <c r="A106" s="0" t="s">
        <v>215</v>
      </c>
    </row>
    <row r="107" customFormat="false" ht="14.25" hidden="false" customHeight="false" outlineLevel="0" collapsed="false">
      <c r="A107" s="0" t="s">
        <v>16</v>
      </c>
    </row>
    <row r="108" customFormat="false" ht="14.25" hidden="false" customHeight="false" outlineLevel="0" collapsed="false">
      <c r="A108" s="0" t="s">
        <v>16</v>
      </c>
    </row>
    <row r="109" customFormat="false" ht="14.25" hidden="false" customHeight="false" outlineLevel="0" collapsed="false">
      <c r="A109" s="0" t="s">
        <v>216</v>
      </c>
    </row>
    <row r="110" customFormat="false" ht="14.25" hidden="false" customHeight="false" outlineLevel="0" collapsed="false">
      <c r="A110" s="0" t="s">
        <v>120</v>
      </c>
    </row>
    <row r="111" customFormat="false" ht="14.25" hidden="false" customHeight="false" outlineLevel="0" collapsed="false">
      <c r="A111" s="0" t="s">
        <v>217</v>
      </c>
    </row>
    <row r="112" customFormat="false" ht="14.25" hidden="false" customHeight="false" outlineLevel="0" collapsed="false">
      <c r="A112" s="0" t="s">
        <v>218</v>
      </c>
    </row>
    <row r="113" customFormat="false" ht="14.25" hidden="false" customHeight="false" outlineLevel="0" collapsed="false">
      <c r="A113" s="0" t="s">
        <v>126</v>
      </c>
    </row>
    <row r="114" customFormat="false" ht="14.25" hidden="false" customHeight="false" outlineLevel="0" collapsed="false">
      <c r="A114" s="0" t="s">
        <v>219</v>
      </c>
    </row>
    <row r="115" customFormat="false" ht="14.25" hidden="false" customHeight="false" outlineLevel="0" collapsed="false">
      <c r="A115" s="0" t="s">
        <v>220</v>
      </c>
    </row>
    <row r="116" customFormat="false" ht="14.25" hidden="false" customHeight="false" outlineLevel="0" collapsed="false">
      <c r="A116" s="0" t="s">
        <v>123</v>
      </c>
    </row>
    <row r="117" customFormat="false" ht="14.25" hidden="false" customHeight="false" outlineLevel="0" collapsed="false">
      <c r="A117" s="0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78"/>
  </cols>
  <sheetData>
    <row r="1" customFormat="false" ht="14.25" hidden="false" customHeight="false" outlineLevel="0" collapsed="false">
      <c r="A1" s="0" t="s">
        <v>222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223</v>
      </c>
    </row>
    <row r="5" customFormat="false" ht="14.25" hidden="false" customHeight="false" outlineLevel="0" collapsed="false">
      <c r="A5" s="0" t="s">
        <v>224</v>
      </c>
    </row>
    <row r="6" customFormat="false" ht="14.25" hidden="false" customHeight="false" outlineLevel="0" collapsed="false">
      <c r="A6" s="0" t="s">
        <v>225</v>
      </c>
    </row>
    <row r="7" customFormat="false" ht="14.25" hidden="false" customHeight="false" outlineLevel="0" collapsed="false">
      <c r="A7" s="0" t="s">
        <v>226</v>
      </c>
    </row>
    <row r="8" customFormat="false" ht="14.25" hidden="false" customHeight="false" outlineLevel="0" collapsed="false">
      <c r="A8" s="0" t="s">
        <v>227</v>
      </c>
    </row>
    <row r="9" customFormat="false" ht="14.25" hidden="false" customHeight="false" outlineLevel="0" collapsed="false">
      <c r="A9" s="0" t="s">
        <v>228</v>
      </c>
    </row>
    <row r="10" customFormat="false" ht="14.25" hidden="false" customHeight="false" outlineLevel="0" collapsed="false">
      <c r="A10" s="0" t="s">
        <v>229</v>
      </c>
    </row>
    <row r="11" customFormat="false" ht="14.25" hidden="false" customHeight="false" outlineLevel="0" collapsed="false">
      <c r="A11" s="0" t="e">
        <f aca="false" t="array" ref="A11:A11">- a vue</f>
        <v>#VALUE!</v>
      </c>
    </row>
    <row r="12" customFormat="false" ht="14.25" hidden="false" customHeight="false" outlineLevel="0" collapsed="false">
      <c r="A12" s="0" t="s">
        <v>230</v>
      </c>
    </row>
    <row r="13" customFormat="false" ht="14.25" hidden="false" customHeight="false" outlineLevel="0" collapsed="false">
      <c r="A13" s="0" t="s">
        <v>231</v>
      </c>
    </row>
    <row r="14" customFormat="false" ht="14.25" hidden="false" customHeight="false" outlineLevel="0" collapsed="false">
      <c r="A14" s="0" t="e">
        <f aca="false" t="array" ref="A14:A14">- a terme</f>
        <v>#VALUE!</v>
      </c>
    </row>
    <row r="15" customFormat="false" ht="14.25" hidden="false" customHeight="false" outlineLevel="0" collapsed="false">
      <c r="A15" s="0" t="s">
        <v>232</v>
      </c>
    </row>
    <row r="16" customFormat="false" ht="14.25" hidden="false" customHeight="false" outlineLevel="0" collapsed="false">
      <c r="A16" s="0" t="s">
        <v>233</v>
      </c>
    </row>
    <row r="17" customFormat="false" ht="14.25" hidden="false" customHeight="false" outlineLevel="0" collapsed="false">
      <c r="A17" s="0" t="s">
        <v>234</v>
      </c>
    </row>
    <row r="18" customFormat="false" ht="14.25" hidden="false" customHeight="false" outlineLevel="0" collapsed="false">
      <c r="A18" s="0" t="s">
        <v>235</v>
      </c>
    </row>
    <row r="19" customFormat="false" ht="14.25" hidden="false" customHeight="false" outlineLevel="0" collapsed="false">
      <c r="A19" s="0" t="s">
        <v>236</v>
      </c>
    </row>
    <row r="20" customFormat="false" ht="14.25" hidden="false" customHeight="false" outlineLevel="0" collapsed="false">
      <c r="A20" s="0" t="e">
        <f aca="false" t="array" ref="A20:A20">- crédits et financements participatifs de trésorerie et à la consommation</f>
        <v>#VALUE!</v>
      </c>
    </row>
    <row r="21" customFormat="false" ht="14.25" hidden="false" customHeight="false" outlineLevel="0" collapsed="false">
      <c r="A21" s="0" t="s">
        <v>237</v>
      </c>
    </row>
    <row r="22" customFormat="false" ht="14.25" hidden="false" customHeight="false" outlineLevel="0" collapsed="false">
      <c r="A22" s="0" t="s">
        <v>238</v>
      </c>
    </row>
    <row r="23" customFormat="false" ht="14.25" hidden="false" customHeight="false" outlineLevel="0" collapsed="false">
      <c r="A23" s="0" t="s">
        <v>239</v>
      </c>
    </row>
    <row r="24" customFormat="false" ht="14.25" hidden="false" customHeight="false" outlineLevel="0" collapsed="false">
      <c r="A24" s="0" t="s">
        <v>240</v>
      </c>
    </row>
    <row r="25" customFormat="false" ht="14.25" hidden="false" customHeight="false" outlineLevel="0" collapsed="false">
      <c r="A25" s="0" t="s">
        <v>241</v>
      </c>
    </row>
    <row r="26" customFormat="false" ht="14.25" hidden="false" customHeight="false" outlineLevel="0" collapsed="false">
      <c r="A26" s="0" t="e">
        <f aca="false" t="array" ref="A26:A26">- crédits et financements participatifs immobiliers</f>
        <v>#VALUE!</v>
      </c>
    </row>
    <row r="27" customFormat="false" ht="14.25" hidden="false" customHeight="false" outlineLevel="0" collapsed="false">
      <c r="A27" s="0" t="s">
        <v>242</v>
      </c>
    </row>
    <row r="28" customFormat="false" ht="14.25" hidden="false" customHeight="false" outlineLevel="0" collapsed="false">
      <c r="A28" s="0" t="s">
        <v>243</v>
      </c>
    </row>
    <row r="29" customFormat="false" ht="14.25" hidden="false" customHeight="false" outlineLevel="0" collapsed="false">
      <c r="A29" s="0" t="e">
        <f aca="false" t="array" ref="A29:A29">- autres crédits et financements participatifs</f>
        <v>#VALUE!</v>
      </c>
    </row>
    <row r="30" customFormat="false" ht="14.25" hidden="false" customHeight="false" outlineLevel="0" collapsed="false">
      <c r="A30" s="0" t="s">
        <v>244</v>
      </c>
    </row>
    <row r="31" customFormat="false" ht="14.25" hidden="false" customHeight="false" outlineLevel="0" collapsed="false">
      <c r="A31" s="0" t="s">
        <v>245</v>
      </c>
    </row>
    <row r="32" customFormat="false" ht="14.25" hidden="false" customHeight="false" outlineLevel="0" collapsed="false">
      <c r="A32" s="0" t="s">
        <v>246</v>
      </c>
    </row>
    <row r="33" customFormat="false" ht="14.25" hidden="false" customHeight="false" outlineLevel="0" collapsed="false">
      <c r="A33" s="0" t="s">
        <v>247</v>
      </c>
    </row>
    <row r="34" customFormat="false" ht="14.25" hidden="false" customHeight="false" outlineLevel="0" collapsed="false">
      <c r="A34" s="0" t="s">
        <v>248</v>
      </c>
    </row>
    <row r="35" customFormat="false" ht="14.25" hidden="false" customHeight="false" outlineLevel="0" collapsed="false">
      <c r="A35" s="0" t="s">
        <v>249</v>
      </c>
    </row>
    <row r="36" customFormat="false" ht="14.25" hidden="false" customHeight="false" outlineLevel="0" collapsed="false">
      <c r="A36" s="0" t="s">
        <v>250</v>
      </c>
    </row>
    <row r="37" customFormat="false" ht="14.25" hidden="false" customHeight="false" outlineLevel="0" collapsed="false">
      <c r="A37" s="0" t="s">
        <v>251</v>
      </c>
    </row>
    <row r="38" customFormat="false" ht="14.25" hidden="false" customHeight="false" outlineLevel="0" collapsed="false">
      <c r="A38" s="0" t="e">
        <f aca="false" t="array" ref="A38:A38">- bons du trésor et valeurs assimilées</f>
        <v>#VALUE!</v>
      </c>
    </row>
    <row r="39" customFormat="false" ht="14.25" hidden="false" customHeight="false" outlineLevel="0" collapsed="false">
      <c r="A39" s="0" t="s">
        <v>252</v>
      </c>
    </row>
    <row r="40" customFormat="false" ht="14.25" hidden="false" customHeight="false" outlineLevel="0" collapsed="false">
      <c r="A40" s="0" t="s">
        <v>253</v>
      </c>
    </row>
    <row r="41" customFormat="false" ht="14.25" hidden="false" customHeight="false" outlineLevel="0" collapsed="false">
      <c r="A41" s="0" t="e">
        <f aca="false" t="array" ref="A41:A41">- autres titres de créance</f>
        <v>#VALUE!</v>
      </c>
    </row>
    <row r="42" customFormat="false" ht="14.25" hidden="false" customHeight="false" outlineLevel="0" collapsed="false">
      <c r="A42" s="0" t="s">
        <v>254</v>
      </c>
    </row>
    <row r="43" customFormat="false" ht="14.25" hidden="false" customHeight="false" outlineLevel="0" collapsed="false">
      <c r="A43" s="0" t="s">
        <v>255</v>
      </c>
    </row>
    <row r="44" customFormat="false" ht="14.25" hidden="false" customHeight="false" outlineLevel="0" collapsed="false">
      <c r="A44" s="0" t="e">
        <f aca="false" t="array" ref="A44:A44">- certificats de sukuk</f>
        <v>#VALUE!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16</v>
      </c>
    </row>
    <row r="47" customFormat="false" ht="14.25" hidden="false" customHeight="false" outlineLevel="0" collapsed="false">
      <c r="A47" s="0" t="e">
        <f aca="false" t="array" ref="A47:A47">- titres de propriété</f>
        <v>#VALUE!</v>
      </c>
    </row>
    <row r="48" customFormat="false" ht="14.25" hidden="false" customHeight="false" outlineLevel="0" collapsed="false">
      <c r="A48" s="0" t="s">
        <v>256</v>
      </c>
    </row>
    <row r="49" customFormat="false" ht="14.25" hidden="false" customHeight="false" outlineLevel="0" collapsed="false">
      <c r="A49" s="0" t="s">
        <v>257</v>
      </c>
    </row>
    <row r="50" customFormat="false" ht="14.25" hidden="false" customHeight="false" outlineLevel="0" collapsed="false">
      <c r="A50" s="0" t="s">
        <v>258</v>
      </c>
    </row>
    <row r="51" customFormat="false" ht="14.25" hidden="false" customHeight="false" outlineLevel="0" collapsed="false">
      <c r="A51" s="0" t="s">
        <v>259</v>
      </c>
    </row>
    <row r="52" customFormat="false" ht="14.25" hidden="false" customHeight="false" outlineLevel="0" collapsed="false">
      <c r="A52" s="0" t="s">
        <v>260</v>
      </c>
    </row>
    <row r="53" customFormat="false" ht="14.25" hidden="false" customHeight="false" outlineLevel="0" collapsed="false">
      <c r="A53" s="0" t="s">
        <v>261</v>
      </c>
    </row>
    <row r="54" customFormat="false" ht="14.25" hidden="false" customHeight="false" outlineLevel="0" collapsed="false">
      <c r="A54" s="0" t="s">
        <v>27</v>
      </c>
    </row>
    <row r="55" customFormat="false" ht="14.25" hidden="false" customHeight="false" outlineLevel="0" collapsed="false">
      <c r="A55" s="0" t="s">
        <v>28</v>
      </c>
    </row>
    <row r="56" customFormat="false" ht="14.25" hidden="false" customHeight="false" outlineLevel="0" collapsed="false">
      <c r="A56" s="0" t="e">
        <f aca="false" t="array" ref="A56:A56">- bons du trésor et valeurs assimilées</f>
        <v>#VALUE!</v>
      </c>
    </row>
    <row r="57" customFormat="false" ht="14.25" hidden="false" customHeight="false" outlineLevel="0" collapsed="false">
      <c r="A57" s="0" t="s">
        <v>262</v>
      </c>
    </row>
    <row r="58" customFormat="false" ht="14.25" hidden="false" customHeight="false" outlineLevel="0" collapsed="false">
      <c r="A58" s="0" t="s">
        <v>263</v>
      </c>
    </row>
    <row r="59" customFormat="false" ht="14.25" hidden="false" customHeight="false" outlineLevel="0" collapsed="false">
      <c r="A59" s="0" t="e">
        <f aca="false" t="array" ref="A59:A59">- autres titres de créance</f>
        <v>#VALUE!</v>
      </c>
    </row>
    <row r="60" customFormat="false" ht="14.25" hidden="false" customHeight="false" outlineLevel="0" collapsed="false">
      <c r="A60" s="0" t="s">
        <v>264</v>
      </c>
    </row>
    <row r="61" customFormat="false" ht="14.25" hidden="false" customHeight="false" outlineLevel="0" collapsed="false">
      <c r="A61" s="0" t="s">
        <v>265</v>
      </c>
    </row>
    <row r="62" customFormat="false" ht="14.25" hidden="false" customHeight="false" outlineLevel="0" collapsed="false">
      <c r="A62" s="0" t="e">
        <f aca="false" t="array" ref="A62:A62">- certificats de sukuk</f>
        <v>#VALUE!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266</v>
      </c>
    </row>
    <row r="66" customFormat="false" ht="14.25" hidden="false" customHeight="false" outlineLevel="0" collapsed="false">
      <c r="A66" s="0" t="s">
        <v>267</v>
      </c>
    </row>
    <row r="67" customFormat="false" ht="14.25" hidden="false" customHeight="false" outlineLevel="0" collapsed="false">
      <c r="A67" s="0" t="s">
        <v>268</v>
      </c>
    </row>
    <row r="68" customFormat="false" ht="14.25" hidden="false" customHeight="false" outlineLevel="0" collapsed="false">
      <c r="A68" s="0" t="e">
        <f aca="false" t="array" ref="A68:A68">- participation dans les entreprises liées</f>
        <v>#VALUE!</v>
      </c>
    </row>
    <row r="69" customFormat="false" ht="14.25" hidden="false" customHeight="false" outlineLevel="0" collapsed="false">
      <c r="A69" s="0" t="s">
        <v>269</v>
      </c>
    </row>
    <row r="70" customFormat="false" ht="14.25" hidden="false" customHeight="false" outlineLevel="0" collapsed="false">
      <c r="A70" s="0" t="s">
        <v>270</v>
      </c>
    </row>
    <row r="71" customFormat="false" ht="14.25" hidden="false" customHeight="false" outlineLevel="0" collapsed="false">
      <c r="A71" s="0" t="e">
        <f aca="false" t="array" ref="A71:A71">- autres titres de participation et emplois assimilés</f>
        <v>#VALUE!</v>
      </c>
    </row>
    <row r="72" customFormat="false" ht="14.25" hidden="false" customHeight="false" outlineLevel="0" collapsed="false">
      <c r="A72" s="0" t="s">
        <v>271</v>
      </c>
    </row>
    <row r="73" customFormat="false" ht="14.25" hidden="false" customHeight="false" outlineLevel="0" collapsed="false">
      <c r="A73" s="0" t="s">
        <v>272</v>
      </c>
    </row>
    <row r="74" customFormat="false" ht="14.25" hidden="false" customHeight="false" outlineLevel="0" collapsed="false">
      <c r="A74" s="0" t="e">
        <f aca="false" t="array" ref="A74:A74">- titres de moudaraba et moucharaka</f>
        <v>#VALUE!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16</v>
      </c>
    </row>
    <row r="77" customFormat="false" ht="14.25" hidden="false" customHeight="false" outlineLevel="0" collapsed="false">
      <c r="A77" s="0" t="s">
        <v>273</v>
      </c>
    </row>
    <row r="78" customFormat="false" ht="14.25" hidden="false" customHeight="false" outlineLevel="0" collapsed="false">
      <c r="A78" s="0" t="s">
        <v>16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274</v>
      </c>
    </row>
    <row r="81" customFormat="false" ht="14.25" hidden="false" customHeight="false" outlineLevel="0" collapsed="false">
      <c r="A81" s="0" t="s">
        <v>275</v>
      </c>
    </row>
    <row r="82" customFormat="false" ht="14.25" hidden="false" customHeight="false" outlineLevel="0" collapsed="false">
      <c r="A82" s="0" t="s">
        <v>276</v>
      </c>
    </row>
    <row r="83" customFormat="false" ht="14.25" hidden="false" customHeight="false" outlineLevel="0" collapsed="false">
      <c r="A83" s="0" t="s">
        <v>277</v>
      </c>
    </row>
    <row r="84" customFormat="false" ht="14.25" hidden="false" customHeight="false" outlineLevel="0" collapsed="false">
      <c r="A84" s="0" t="s">
        <v>16</v>
      </c>
    </row>
    <row r="85" customFormat="false" ht="14.25" hidden="false" customHeight="false" outlineLevel="0" collapsed="false">
      <c r="A85" s="0" t="s">
        <v>16</v>
      </c>
    </row>
    <row r="86" customFormat="false" ht="14.25" hidden="false" customHeight="false" outlineLevel="0" collapsed="false">
      <c r="A86" s="0" t="s">
        <v>278</v>
      </c>
    </row>
    <row r="87" customFormat="false" ht="14.25" hidden="false" customHeight="false" outlineLevel="0" collapsed="false">
      <c r="A87" s="0" t="s">
        <v>16</v>
      </c>
    </row>
    <row r="88" customFormat="false" ht="14.25" hidden="false" customHeight="false" outlineLevel="0" collapsed="false">
      <c r="A88" s="0" t="s">
        <v>16</v>
      </c>
    </row>
    <row r="89" customFormat="false" ht="14.25" hidden="false" customHeight="false" outlineLevel="0" collapsed="false">
      <c r="A89" s="0" t="s">
        <v>57</v>
      </c>
    </row>
    <row r="90" customFormat="false" ht="14.25" hidden="false" customHeight="false" outlineLevel="0" collapsed="false">
      <c r="A90" s="0" t="s">
        <v>279</v>
      </c>
    </row>
    <row r="91" customFormat="false" ht="14.25" hidden="false" customHeight="false" outlineLevel="0" collapsed="false">
      <c r="A91" s="0" t="s">
        <v>280</v>
      </c>
    </row>
    <row r="92" customFormat="false" ht="14.25" hidden="false" customHeight="false" outlineLevel="0" collapsed="false">
      <c r="A92" s="0" t="s">
        <v>54</v>
      </c>
    </row>
    <row r="93" customFormat="false" ht="14.25" hidden="false" customHeight="false" outlineLevel="0" collapsed="false">
      <c r="A93" s="0" t="s">
        <v>281</v>
      </c>
    </row>
    <row r="94" customFormat="false" ht="14.25" hidden="false" customHeight="false" outlineLevel="0" collapsed="false">
      <c r="A94" s="0" t="s">
        <v>282</v>
      </c>
    </row>
    <row r="95" customFormat="false" ht="14.25" hidden="false" customHeight="false" outlineLevel="0" collapsed="false">
      <c r="A95" s="0" t="s">
        <v>283</v>
      </c>
    </row>
    <row r="96" customFormat="false" ht="14.25" hidden="false" customHeight="false" outlineLevel="0" collapsed="false">
      <c r="A96" s="0" t="s">
        <v>284</v>
      </c>
    </row>
    <row r="97" customFormat="false" ht="14.25" hidden="false" customHeight="false" outlineLevel="0" collapsed="false">
      <c r="A97" s="0" t="s">
        <v>285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286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287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70</v>
      </c>
    </row>
    <row r="8" customFormat="false" ht="14.25" hidden="false" customHeight="false" outlineLevel="0" collapsed="false">
      <c r="A8" s="0" t="s">
        <v>288</v>
      </c>
    </row>
    <row r="9" customFormat="false" ht="14.25" hidden="false" customHeight="false" outlineLevel="0" collapsed="false">
      <c r="A9" s="0" t="s">
        <v>289</v>
      </c>
    </row>
    <row r="10" customFormat="false" ht="14.25" hidden="false" customHeight="false" outlineLevel="0" collapsed="false">
      <c r="A10" s="0" t="e">
        <f aca="false" t="array" ref="A10:A10">- a vue</f>
        <v>#VALUE!</v>
      </c>
    </row>
    <row r="11" customFormat="false" ht="14.25" hidden="false" customHeight="false" outlineLevel="0" collapsed="false">
      <c r="A11" s="0" t="s">
        <v>290</v>
      </c>
    </row>
    <row r="12" customFormat="false" ht="14.25" hidden="false" customHeight="false" outlineLevel="0" collapsed="false">
      <c r="A12" s="0" t="s">
        <v>291</v>
      </c>
    </row>
    <row r="13" customFormat="false" ht="14.25" hidden="false" customHeight="false" outlineLevel="0" collapsed="false">
      <c r="A13" s="0" t="e">
        <f aca="false" t="array" ref="A13:A13">- a terme</f>
        <v>#VALUE!</v>
      </c>
    </row>
    <row r="14" customFormat="false" ht="14.25" hidden="false" customHeight="false" outlineLevel="0" collapsed="false">
      <c r="A14" s="0" t="s">
        <v>292</v>
      </c>
    </row>
    <row r="15" customFormat="false" ht="14.25" hidden="false" customHeight="false" outlineLevel="0" collapsed="false">
      <c r="A15" s="0" t="s">
        <v>293</v>
      </c>
    </row>
    <row r="16" customFormat="false" ht="14.25" hidden="false" customHeight="false" outlineLevel="0" collapsed="false">
      <c r="A16" s="0" t="s">
        <v>294</v>
      </c>
    </row>
    <row r="17" customFormat="false" ht="14.25" hidden="false" customHeight="false" outlineLevel="0" collapsed="false">
      <c r="A17" s="0" t="s">
        <v>295</v>
      </c>
    </row>
    <row r="18" customFormat="false" ht="14.25" hidden="false" customHeight="false" outlineLevel="0" collapsed="false">
      <c r="A18" s="0" t="s">
        <v>296</v>
      </c>
    </row>
    <row r="19" customFormat="false" ht="14.25" hidden="false" customHeight="false" outlineLevel="0" collapsed="false">
      <c r="A19" s="0" t="e">
        <f aca="false" t="array" ref="A19:A19">- comptes à vue créditeurs</f>
        <v>#VALUE!</v>
      </c>
    </row>
    <row r="20" customFormat="false" ht="14.25" hidden="false" customHeight="false" outlineLevel="0" collapsed="false">
      <c r="A20" s="0" t="s">
        <v>297</v>
      </c>
    </row>
    <row r="21" customFormat="false" ht="14.25" hidden="false" customHeight="false" outlineLevel="0" collapsed="false">
      <c r="A21" s="0" t="s">
        <v>298</v>
      </c>
    </row>
    <row r="22" customFormat="false" ht="14.25" hidden="false" customHeight="false" outlineLevel="0" collapsed="false">
      <c r="A22" s="0" t="s">
        <v>299</v>
      </c>
    </row>
    <row r="23" customFormat="false" ht="14.25" hidden="false" customHeight="false" outlineLevel="0" collapsed="false">
      <c r="A23" s="0" t="s">
        <v>300</v>
      </c>
    </row>
    <row r="24" customFormat="false" ht="14.25" hidden="false" customHeight="false" outlineLevel="0" collapsed="false">
      <c r="A24" s="0" t="s">
        <v>301</v>
      </c>
    </row>
    <row r="25" customFormat="false" ht="14.25" hidden="false" customHeight="false" outlineLevel="0" collapsed="false">
      <c r="A25" s="0" t="e">
        <f aca="false" t="array" ref="A25:A25">- dépôts à terme</f>
        <v>#VALUE!</v>
      </c>
    </row>
    <row r="26" customFormat="false" ht="14.25" hidden="false" customHeight="false" outlineLevel="0" collapsed="false">
      <c r="A26" s="0" t="s">
        <v>302</v>
      </c>
    </row>
    <row r="27" customFormat="false" ht="14.25" hidden="false" customHeight="false" outlineLevel="0" collapsed="false">
      <c r="A27" s="0" t="s">
        <v>303</v>
      </c>
    </row>
    <row r="28" customFormat="false" ht="14.25" hidden="false" customHeight="false" outlineLevel="0" collapsed="false">
      <c r="A28" s="0" t="e">
        <f aca="false" t="array" ref="A28:A28">- autres comptes créditeurs</f>
        <v>#VALUE!</v>
      </c>
    </row>
    <row r="29" customFormat="false" ht="14.25" hidden="false" customHeight="false" outlineLevel="0" collapsed="false">
      <c r="A29" s="0" t="s">
        <v>304</v>
      </c>
    </row>
    <row r="30" customFormat="false" ht="14.25" hidden="false" customHeight="false" outlineLevel="0" collapsed="false">
      <c r="A30" s="0" t="s">
        <v>305</v>
      </c>
    </row>
    <row r="31" customFormat="false" ht="14.25" hidden="false" customHeight="false" outlineLevel="0" collapsed="false">
      <c r="A31" s="0" t="s">
        <v>306</v>
      </c>
    </row>
    <row r="32" customFormat="false" ht="14.25" hidden="false" customHeight="false" outlineLevel="0" collapsed="false">
      <c r="A32" s="0" t="s">
        <v>16</v>
      </c>
    </row>
    <row r="33" customFormat="false" ht="14.25" hidden="false" customHeight="false" outlineLevel="0" collapsed="false">
      <c r="A33" s="0" t="s">
        <v>16</v>
      </c>
    </row>
    <row r="34" customFormat="false" ht="14.25" hidden="false" customHeight="false" outlineLevel="0" collapsed="false">
      <c r="A34" s="0" t="s">
        <v>76</v>
      </c>
    </row>
    <row r="35" customFormat="false" ht="14.25" hidden="false" customHeight="false" outlineLevel="0" collapsed="false">
      <c r="A35" s="0" t="s">
        <v>307</v>
      </c>
    </row>
    <row r="36" customFormat="false" ht="14.25" hidden="false" customHeight="false" outlineLevel="0" collapsed="false">
      <c r="A36" s="0" t="s">
        <v>308</v>
      </c>
    </row>
    <row r="37" customFormat="false" ht="14.25" hidden="false" customHeight="false" outlineLevel="0" collapsed="false">
      <c r="A37" s="0" t="e">
        <f aca="false" t="array" ref="A37:A37">- titres de créance négociables</f>
        <v>#VALUE!</v>
      </c>
    </row>
    <row r="38" customFormat="false" ht="14.25" hidden="false" customHeight="false" outlineLevel="0" collapsed="false">
      <c r="A38" s="0" t="s">
        <v>307</v>
      </c>
    </row>
    <row r="39" customFormat="false" ht="14.25" hidden="false" customHeight="false" outlineLevel="0" collapsed="false">
      <c r="A39" s="0" t="s">
        <v>308</v>
      </c>
    </row>
    <row r="40" customFormat="false" ht="14.25" hidden="false" customHeight="false" outlineLevel="0" collapsed="false">
      <c r="A40" s="0" t="e">
        <f aca="false" t="array" ref="A40:A40">- emprunts obligataires</f>
        <v>#VALUE!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e">
        <f aca="false" t="array" ref="A43:A43">- autres titres de créance émis</f>
        <v>#VALUE!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309</v>
      </c>
    </row>
    <row r="47" customFormat="false" ht="14.25" hidden="false" customHeight="false" outlineLevel="0" collapsed="false">
      <c r="A47" s="0" t="s">
        <v>310</v>
      </c>
    </row>
    <row r="48" customFormat="false" ht="14.25" hidden="false" customHeight="false" outlineLevel="0" collapsed="false">
      <c r="A48" s="0" t="s">
        <v>311</v>
      </c>
    </row>
    <row r="49" customFormat="false" ht="14.25" hidden="false" customHeight="false" outlineLevel="0" collapsed="false">
      <c r="A49" s="0" t="s">
        <v>91</v>
      </c>
    </row>
    <row r="50" customFormat="false" ht="14.25" hidden="false" customHeight="false" outlineLevel="0" collapsed="false">
      <c r="A50" s="0" t="s">
        <v>312</v>
      </c>
    </row>
    <row r="51" customFormat="false" ht="14.25" hidden="false" customHeight="false" outlineLevel="0" collapsed="false">
      <c r="A51" s="0" t="s">
        <v>313</v>
      </c>
    </row>
    <row r="52" customFormat="false" ht="14.25" hidden="false" customHeight="false" outlineLevel="0" collapsed="false">
      <c r="A52" s="0" t="s">
        <v>314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315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316</v>
      </c>
    </row>
    <row r="59" customFormat="false" ht="14.25" hidden="false" customHeight="false" outlineLevel="0" collapsed="false">
      <c r="A59" s="0" t="s">
        <v>317</v>
      </c>
    </row>
    <row r="60" customFormat="false" ht="14.25" hidden="false" customHeight="false" outlineLevel="0" collapsed="false">
      <c r="A60" s="0" t="s">
        <v>318</v>
      </c>
    </row>
    <row r="61" customFormat="false" ht="14.25" hidden="false" customHeight="false" outlineLevel="0" collapsed="false">
      <c r="A61" s="0" t="s">
        <v>319</v>
      </c>
    </row>
    <row r="62" customFormat="false" ht="14.25" hidden="false" customHeight="false" outlineLevel="0" collapsed="false">
      <c r="A62" s="0" t="s">
        <v>16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320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16</v>
      </c>
    </row>
    <row r="67" customFormat="false" ht="14.25" hidden="false" customHeight="false" outlineLevel="0" collapsed="false">
      <c r="A67" s="0" t="s">
        <v>321</v>
      </c>
    </row>
    <row r="68" customFormat="false" ht="14.25" hidden="false" customHeight="false" outlineLevel="0" collapsed="false">
      <c r="A68" s="0" t="s">
        <v>322</v>
      </c>
    </row>
    <row r="69" customFormat="false" ht="14.25" hidden="false" customHeight="false" outlineLevel="0" collapsed="false">
      <c r="A69" s="0" t="s">
        <v>323</v>
      </c>
    </row>
    <row r="70" customFormat="false" ht="14.25" hidden="false" customHeight="false" outlineLevel="0" collapsed="false">
      <c r="A70" s="0" t="s">
        <v>324</v>
      </c>
    </row>
    <row r="71" customFormat="false" ht="14.25" hidden="false" customHeight="false" outlineLevel="0" collapsed="false">
      <c r="A71" s="0" t="s">
        <v>102</v>
      </c>
    </row>
    <row r="72" customFormat="false" ht="14.25" hidden="false" customHeight="false" outlineLevel="0" collapsed="false">
      <c r="A72" s="0" t="s">
        <v>103</v>
      </c>
    </row>
    <row r="73" customFormat="false" ht="14.25" hidden="false" customHeight="false" outlineLevel="0" collapsed="false">
      <c r="A73" s="0" t="s">
        <v>325</v>
      </c>
    </row>
    <row r="74" customFormat="false" ht="14.25" hidden="false" customHeight="false" outlineLevel="0" collapsed="false">
      <c r="A74" s="0" t="s">
        <v>16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326</v>
      </c>
    </row>
    <row r="77" customFormat="false" ht="14.25" hidden="false" customHeight="false" outlineLevel="0" collapsed="false">
      <c r="A77" s="0" t="s">
        <v>327</v>
      </c>
    </row>
    <row r="78" customFormat="false" ht="14.25" hidden="false" customHeight="false" outlineLevel="0" collapsed="false">
      <c r="A78" s="0" t="s">
        <v>328</v>
      </c>
    </row>
    <row r="79" customFormat="false" ht="14.25" hidden="false" customHeight="false" outlineLevel="0" collapsed="false">
      <c r="A79" s="0" t="s">
        <v>329</v>
      </c>
    </row>
    <row r="80" customFormat="false" ht="14.25" hidden="false" customHeight="false" outlineLevel="0" collapsed="false">
      <c r="A80" s="0" t="s">
        <v>16</v>
      </c>
    </row>
    <row r="81" customFormat="false" ht="14.25" hidden="false" customHeight="false" outlineLevel="0" collapsed="false">
      <c r="A81" s="0" t="s">
        <v>16</v>
      </c>
    </row>
    <row r="82" customFormat="false" ht="14.25" hidden="false" customHeight="false" outlineLevel="0" collapsed="false">
      <c r="A82" s="0" t="s">
        <v>330</v>
      </c>
    </row>
    <row r="83" customFormat="false" ht="14.25" hidden="false" customHeight="false" outlineLevel="0" collapsed="false">
      <c r="A83" s="0" t="s">
        <v>331</v>
      </c>
    </row>
    <row r="84" customFormat="false" ht="14.25" hidden="false" customHeight="false" outlineLevel="0" collapsed="false">
      <c r="A84" s="0" t="s">
        <v>332</v>
      </c>
    </row>
    <row r="85" customFormat="false" ht="14.25" hidden="false" customHeight="false" outlineLevel="0" collapsed="false">
      <c r="A85" s="0" t="s">
        <v>333</v>
      </c>
    </row>
    <row r="86" customFormat="false" ht="14.25" hidden="false" customHeight="false" outlineLevel="0" collapsed="false">
      <c r="A86" s="0" t="s">
        <v>284</v>
      </c>
    </row>
    <row r="87" customFormat="false" ht="14.25" hidden="false" customHeight="false" outlineLevel="0" collapsed="false">
      <c r="A87" s="0" t="s">
        <v>285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8.89"/>
  </cols>
  <sheetData>
    <row r="1" customFormat="false" ht="14.25" hidden="false" customHeight="false" outlineLevel="0" collapsed="false">
      <c r="A1" s="0" t="s">
        <v>334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130</v>
      </c>
    </row>
    <row r="4" customFormat="false" ht="14.25" hidden="false" customHeight="false" outlineLevel="0" collapsed="false">
      <c r="A4" s="0" t="s">
        <v>335</v>
      </c>
    </row>
    <row r="5" customFormat="false" ht="14.25" hidden="false" customHeight="false" outlineLevel="0" collapsed="false">
      <c r="A5" s="0" t="s">
        <v>336</v>
      </c>
    </row>
    <row r="6" customFormat="false" ht="14.25" hidden="false" customHeight="false" outlineLevel="0" collapsed="false">
      <c r="A6" s="0" t="s">
        <v>337</v>
      </c>
    </row>
    <row r="7" customFormat="false" ht="14.25" hidden="false" customHeight="false" outlineLevel="0" collapsed="false">
      <c r="A7" s="0" t="s">
        <v>338</v>
      </c>
    </row>
    <row r="8" customFormat="false" ht="14.25" hidden="false" customHeight="false" outlineLevel="0" collapsed="false">
      <c r="A8" s="0" t="s">
        <v>339</v>
      </c>
    </row>
    <row r="9" customFormat="false" ht="14.25" hidden="false" customHeight="false" outlineLevel="0" collapsed="false">
      <c r="A9" s="0" t="s">
        <v>340</v>
      </c>
    </row>
    <row r="10" customFormat="false" ht="14.25" hidden="false" customHeight="false" outlineLevel="0" collapsed="false">
      <c r="A10" s="0" t="s">
        <v>341</v>
      </c>
    </row>
    <row r="11" customFormat="false" ht="14.25" hidden="false" customHeight="false" outlineLevel="0" collapsed="false">
      <c r="A11" s="0" t="s">
        <v>342</v>
      </c>
    </row>
    <row r="12" customFormat="false" ht="14.25" hidden="false" customHeight="false" outlineLevel="0" collapsed="false">
      <c r="A12" s="0" t="s">
        <v>343</v>
      </c>
    </row>
    <row r="13" customFormat="false" ht="14.25" hidden="false" customHeight="false" outlineLevel="0" collapsed="false">
      <c r="A13" s="0" t="s">
        <v>344</v>
      </c>
    </row>
    <row r="14" customFormat="false" ht="14.25" hidden="false" customHeight="false" outlineLevel="0" collapsed="false">
      <c r="A14" s="0" t="s">
        <v>345</v>
      </c>
    </row>
    <row r="15" customFormat="false" ht="14.25" hidden="false" customHeight="false" outlineLevel="0" collapsed="false">
      <c r="A15" s="0" t="s">
        <v>346</v>
      </c>
    </row>
    <row r="16" customFormat="false" ht="14.25" hidden="false" customHeight="false" outlineLevel="0" collapsed="false">
      <c r="A16" s="0" t="s">
        <v>347</v>
      </c>
    </row>
    <row r="17" customFormat="false" ht="14.25" hidden="false" customHeight="false" outlineLevel="0" collapsed="false">
      <c r="A17" s="0" t="s">
        <v>348</v>
      </c>
    </row>
    <row r="18" customFormat="false" ht="14.25" hidden="false" customHeight="false" outlineLevel="0" collapsed="false">
      <c r="A18" s="0" t="s">
        <v>349</v>
      </c>
    </row>
    <row r="19" customFormat="false" ht="14.25" hidden="false" customHeight="false" outlineLevel="0" collapsed="false">
      <c r="A19" s="0" t="s">
        <v>350</v>
      </c>
    </row>
    <row r="20" customFormat="false" ht="14.25" hidden="false" customHeight="false" outlineLevel="0" collapsed="false">
      <c r="A20" s="0" t="s">
        <v>351</v>
      </c>
    </row>
    <row r="21" customFormat="false" ht="14.25" hidden="false" customHeight="false" outlineLevel="0" collapsed="false">
      <c r="A21" s="0" t="s">
        <v>16</v>
      </c>
    </row>
    <row r="22" customFormat="false" ht="14.25" hidden="false" customHeight="false" outlineLevel="0" collapsed="false">
      <c r="A22" s="0" t="s">
        <v>16</v>
      </c>
    </row>
    <row r="23" customFormat="false" ht="14.25" hidden="false" customHeight="false" outlineLevel="0" collapsed="false">
      <c r="A23" s="0" t="s">
        <v>352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16</v>
      </c>
    </row>
    <row r="26" customFormat="false" ht="14.25" hidden="false" customHeight="false" outlineLevel="0" collapsed="false">
      <c r="A26" s="0" t="s">
        <v>353</v>
      </c>
    </row>
    <row r="27" customFormat="false" ht="14.25" hidden="false" customHeight="false" outlineLevel="0" collapsed="false">
      <c r="A27" s="0" t="s">
        <v>16</v>
      </c>
    </row>
    <row r="28" customFormat="false" ht="14.25" hidden="false" customHeight="false" outlineLevel="0" collapsed="false">
      <c r="A28" s="0" t="s">
        <v>16</v>
      </c>
    </row>
    <row r="29" customFormat="false" ht="14.25" hidden="false" customHeight="false" outlineLevel="0" collapsed="false">
      <c r="A29" s="0" t="s">
        <v>354</v>
      </c>
    </row>
    <row r="30" customFormat="false" ht="14.25" hidden="false" customHeight="false" outlineLevel="0" collapsed="false">
      <c r="A30" s="0" t="s">
        <v>355</v>
      </c>
    </row>
    <row r="31" customFormat="false" ht="14.25" hidden="false" customHeight="false" outlineLevel="0" collapsed="false">
      <c r="A31" s="0" t="s">
        <v>356</v>
      </c>
    </row>
    <row r="32" customFormat="false" ht="14.25" hidden="false" customHeight="false" outlineLevel="0" collapsed="false">
      <c r="A32" s="0" t="s">
        <v>357</v>
      </c>
    </row>
    <row r="33" customFormat="false" ht="14.25" hidden="false" customHeight="false" outlineLevel="0" collapsed="false">
      <c r="A33" s="0" t="s">
        <v>358</v>
      </c>
    </row>
    <row r="34" customFormat="false" ht="14.25" hidden="false" customHeight="false" outlineLevel="0" collapsed="false">
      <c r="A34" s="0" t="s">
        <v>359</v>
      </c>
    </row>
    <row r="35" customFormat="false" ht="14.25" hidden="false" customHeight="false" outlineLevel="0" collapsed="false">
      <c r="A35" s="0" t="s">
        <v>360</v>
      </c>
    </row>
    <row r="36" customFormat="false" ht="14.25" hidden="false" customHeight="false" outlineLevel="0" collapsed="false">
      <c r="A36" s="0" t="s">
        <v>16</v>
      </c>
    </row>
    <row r="37" customFormat="false" ht="14.25" hidden="false" customHeight="false" outlineLevel="0" collapsed="false">
      <c r="A37" s="0" t="s">
        <v>16</v>
      </c>
    </row>
    <row r="38" customFormat="false" ht="14.25" hidden="false" customHeight="false" outlineLevel="0" collapsed="false">
      <c r="A38" s="0" t="s">
        <v>361</v>
      </c>
    </row>
    <row r="39" customFormat="false" ht="14.25" hidden="false" customHeight="false" outlineLevel="0" collapsed="false">
      <c r="A39" s="0" t="s">
        <v>362</v>
      </c>
    </row>
    <row r="40" customFormat="false" ht="14.25" hidden="false" customHeight="false" outlineLevel="0" collapsed="false">
      <c r="A40" s="0" t="s">
        <v>363</v>
      </c>
    </row>
    <row r="41" customFormat="false" ht="14.25" hidden="false" customHeight="false" outlineLevel="0" collapsed="false">
      <c r="A41" s="0" t="s">
        <v>364</v>
      </c>
    </row>
    <row r="42" customFormat="false" ht="14.25" hidden="false" customHeight="false" outlineLevel="0" collapsed="false">
      <c r="A42" s="0" t="s">
        <v>365</v>
      </c>
    </row>
    <row r="43" customFormat="false" ht="14.25" hidden="false" customHeight="false" outlineLevel="0" collapsed="false">
      <c r="A43" s="0" t="s">
        <v>366</v>
      </c>
    </row>
    <row r="44" customFormat="false" ht="14.25" hidden="false" customHeight="false" outlineLevel="0" collapsed="false">
      <c r="A44" s="0" t="s">
        <v>367</v>
      </c>
    </row>
    <row r="45" customFormat="false" ht="14.25" hidden="false" customHeight="false" outlineLevel="0" collapsed="false">
      <c r="A45" s="0" t="s">
        <v>368</v>
      </c>
    </row>
    <row r="46" customFormat="false" ht="14.25" hidden="false" customHeight="false" outlineLevel="0" collapsed="false">
      <c r="A46" s="0" t="s">
        <v>369</v>
      </c>
    </row>
    <row r="47" customFormat="false" ht="14.25" hidden="false" customHeight="false" outlineLevel="0" collapsed="false">
      <c r="A47" s="0" t="s">
        <v>370</v>
      </c>
    </row>
    <row r="48" customFormat="false" ht="14.25" hidden="false" customHeight="false" outlineLevel="0" collapsed="false">
      <c r="A48" s="0" t="s">
        <v>371</v>
      </c>
    </row>
    <row r="49" customFormat="false" ht="14.25" hidden="false" customHeight="false" outlineLevel="0" collapsed="false">
      <c r="A49" s="0" t="s">
        <v>372</v>
      </c>
    </row>
    <row r="50" customFormat="false" ht="14.25" hidden="false" customHeight="false" outlineLevel="0" collapsed="false">
      <c r="A50" s="0" t="s">
        <v>373</v>
      </c>
    </row>
    <row r="51" customFormat="false" ht="14.25" hidden="false" customHeight="false" outlineLevel="0" collapsed="false">
      <c r="A51" s="0" t="s">
        <v>374</v>
      </c>
    </row>
    <row r="52" customFormat="false" ht="14.25" hidden="false" customHeight="false" outlineLevel="0" collapsed="false">
      <c r="A52" s="0" t="s">
        <v>16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375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376</v>
      </c>
    </row>
    <row r="58" customFormat="false" ht="14.25" hidden="false" customHeight="false" outlineLevel="0" collapsed="false">
      <c r="A58" s="0" t="s">
        <v>16</v>
      </c>
    </row>
    <row r="59" customFormat="false" ht="14.25" hidden="false" customHeight="false" outlineLevel="0" collapsed="false">
      <c r="A59" s="0" t="s">
        <v>16</v>
      </c>
    </row>
    <row r="60" customFormat="false" ht="14.25" hidden="false" customHeight="false" outlineLevel="0" collapsed="false">
      <c r="A60" s="0" t="s">
        <v>377</v>
      </c>
    </row>
    <row r="61" customFormat="false" ht="14.25" hidden="false" customHeight="false" outlineLevel="0" collapsed="false">
      <c r="A61" s="0" t="s">
        <v>378</v>
      </c>
    </row>
    <row r="62" customFormat="false" ht="14.25" hidden="false" customHeight="false" outlineLevel="0" collapsed="false">
      <c r="A62" s="0" t="s">
        <v>379</v>
      </c>
    </row>
    <row r="63" customFormat="false" ht="14.25" hidden="false" customHeight="false" outlineLevel="0" collapsed="false">
      <c r="A63" s="0" t="s">
        <v>380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182</v>
      </c>
    </row>
    <row r="67" customFormat="false" ht="14.25" hidden="false" customHeight="false" outlineLevel="0" collapsed="false">
      <c r="A67" s="0" t="s">
        <v>381</v>
      </c>
    </row>
    <row r="68" customFormat="false" ht="14.25" hidden="false" customHeight="false" outlineLevel="0" collapsed="false">
      <c r="A68" s="0" t="s">
        <v>382</v>
      </c>
    </row>
    <row r="69" customFormat="false" ht="14.25" hidden="false" customHeight="false" outlineLevel="0" collapsed="false">
      <c r="A69" s="0" t="s">
        <v>383</v>
      </c>
    </row>
    <row r="70" customFormat="false" ht="14.25" hidden="false" customHeight="false" outlineLevel="0" collapsed="false">
      <c r="A70" s="0" t="s">
        <v>384</v>
      </c>
    </row>
    <row r="71" customFormat="false" ht="14.25" hidden="false" customHeight="false" outlineLevel="0" collapsed="false">
      <c r="A71" s="0" t="s">
        <v>385</v>
      </c>
    </row>
    <row r="72" customFormat="false" ht="14.25" hidden="false" customHeight="false" outlineLevel="0" collapsed="false">
      <c r="A72" s="0" t="s">
        <v>386</v>
      </c>
    </row>
    <row r="73" customFormat="false" ht="14.25" hidden="false" customHeight="false" outlineLevel="0" collapsed="false">
      <c r="A73" s="0" t="s">
        <v>387</v>
      </c>
    </row>
    <row r="74" customFormat="false" ht="14.25" hidden="false" customHeight="false" outlineLevel="0" collapsed="false">
      <c r="A74" s="0" t="s">
        <v>388</v>
      </c>
    </row>
    <row r="75" customFormat="false" ht="14.25" hidden="false" customHeight="false" outlineLevel="0" collapsed="false">
      <c r="A75" s="0" t="s">
        <v>389</v>
      </c>
    </row>
    <row r="76" customFormat="false" ht="14.25" hidden="false" customHeight="false" outlineLevel="0" collapsed="false">
      <c r="A76" s="0" t="s">
        <v>390</v>
      </c>
    </row>
    <row r="77" customFormat="false" ht="14.25" hidden="false" customHeight="false" outlineLevel="0" collapsed="false">
      <c r="A77" s="0" t="s">
        <v>391</v>
      </c>
    </row>
    <row r="78" customFormat="false" ht="14.25" hidden="false" customHeight="false" outlineLevel="0" collapsed="false">
      <c r="A78" s="0" t="s">
        <v>392</v>
      </c>
    </row>
    <row r="79" customFormat="false" ht="14.25" hidden="false" customHeight="false" outlineLevel="0" collapsed="false">
      <c r="A79" s="0" t="s">
        <v>393</v>
      </c>
    </row>
    <row r="80" customFormat="false" ht="14.25" hidden="false" customHeight="false" outlineLevel="0" collapsed="false">
      <c r="A80" s="0" t="s">
        <v>394</v>
      </c>
    </row>
    <row r="81" customFormat="false" ht="14.25" hidden="false" customHeight="false" outlineLevel="0" collapsed="false">
      <c r="A81" s="0" t="s">
        <v>395</v>
      </c>
    </row>
    <row r="82" customFormat="false" ht="14.25" hidden="false" customHeight="false" outlineLevel="0" collapsed="false">
      <c r="A82" s="0" t="s">
        <v>396</v>
      </c>
    </row>
    <row r="83" customFormat="false" ht="14.25" hidden="false" customHeight="false" outlineLevel="0" collapsed="false">
      <c r="A83" s="0" t="s">
        <v>397</v>
      </c>
    </row>
    <row r="84" customFormat="false" ht="14.25" hidden="false" customHeight="false" outlineLevel="0" collapsed="false">
      <c r="A84" s="0" t="s">
        <v>398</v>
      </c>
    </row>
    <row r="85" customFormat="false" ht="14.25" hidden="false" customHeight="false" outlineLevel="0" collapsed="false">
      <c r="A85" s="0" t="s">
        <v>399</v>
      </c>
    </row>
    <row r="86" customFormat="false" ht="14.25" hidden="false" customHeight="false" outlineLevel="0" collapsed="false">
      <c r="A86" s="0" t="s">
        <v>400</v>
      </c>
    </row>
    <row r="87" customFormat="false" ht="14.25" hidden="false" customHeight="false" outlineLevel="0" collapsed="false">
      <c r="A87" s="0" t="s">
        <v>401</v>
      </c>
    </row>
    <row r="88" customFormat="false" ht="14.25" hidden="false" customHeight="false" outlineLevel="0" collapsed="false">
      <c r="A88" s="0" t="s">
        <v>402</v>
      </c>
    </row>
    <row r="89" customFormat="false" ht="14.25" hidden="false" customHeight="false" outlineLevel="0" collapsed="false">
      <c r="A89" s="0" t="s">
        <v>403</v>
      </c>
    </row>
    <row r="90" customFormat="false" ht="14.25" hidden="false" customHeight="false" outlineLevel="0" collapsed="false">
      <c r="A90" s="0" t="s">
        <v>404</v>
      </c>
    </row>
    <row r="91" customFormat="false" ht="14.25" hidden="false" customHeight="false" outlineLevel="0" collapsed="false">
      <c r="A91" s="0" t="s">
        <v>189</v>
      </c>
    </row>
    <row r="92" customFormat="false" ht="14.25" hidden="false" customHeight="false" outlineLevel="0" collapsed="false">
      <c r="A92" s="0" t="s">
        <v>405</v>
      </c>
    </row>
    <row r="93" customFormat="false" ht="14.25" hidden="false" customHeight="false" outlineLevel="0" collapsed="false">
      <c r="A93" s="0" t="s">
        <v>406</v>
      </c>
    </row>
    <row r="94" customFormat="false" ht="14.25" hidden="false" customHeight="false" outlineLevel="0" collapsed="false">
      <c r="A94" s="0" t="s">
        <v>407</v>
      </c>
    </row>
    <row r="95" customFormat="false" ht="14.25" hidden="false" customHeight="false" outlineLevel="0" collapsed="false">
      <c r="A95" s="0" t="s">
        <v>408</v>
      </c>
    </row>
    <row r="96" customFormat="false" ht="14.25" hidden="false" customHeight="false" outlineLevel="0" collapsed="false">
      <c r="A96" s="0" t="s">
        <v>409</v>
      </c>
    </row>
    <row r="97" customFormat="false" ht="14.25" hidden="false" customHeight="false" outlineLevel="0" collapsed="false">
      <c r="A97" s="0" t="s">
        <v>410</v>
      </c>
    </row>
    <row r="98" customFormat="false" ht="14.25" hidden="false" customHeight="false" outlineLevel="0" collapsed="false">
      <c r="A98" s="0" t="s">
        <v>411</v>
      </c>
    </row>
    <row r="99" customFormat="false" ht="14.25" hidden="false" customHeight="false" outlineLevel="0" collapsed="false">
      <c r="A99" s="0" t="s">
        <v>412</v>
      </c>
    </row>
    <row r="100" customFormat="false" ht="14.25" hidden="false" customHeight="false" outlineLevel="0" collapsed="false">
      <c r="A100" s="0" t="s">
        <v>413</v>
      </c>
    </row>
    <row r="101" customFormat="false" ht="14.25" hidden="false" customHeight="false" outlineLevel="0" collapsed="false">
      <c r="A101" s="0" t="s">
        <v>414</v>
      </c>
    </row>
    <row r="102" customFormat="false" ht="14.25" hidden="false" customHeight="false" outlineLevel="0" collapsed="false">
      <c r="A102" s="0" t="s">
        <v>415</v>
      </c>
    </row>
    <row r="103" customFormat="false" ht="14.25" hidden="false" customHeight="false" outlineLevel="0" collapsed="false">
      <c r="A103" s="0" t="s">
        <v>416</v>
      </c>
    </row>
    <row r="104" customFormat="false" ht="14.25" hidden="false" customHeight="false" outlineLevel="0" collapsed="false">
      <c r="A104" s="0" t="s">
        <v>417</v>
      </c>
    </row>
    <row r="105" customFormat="false" ht="14.25" hidden="false" customHeight="false" outlineLevel="0" collapsed="false">
      <c r="A105" s="0" t="s">
        <v>418</v>
      </c>
    </row>
    <row r="106" customFormat="false" ht="14.25" hidden="false" customHeight="false" outlineLevel="0" collapsed="false">
      <c r="A106" s="0" t="s">
        <v>419</v>
      </c>
    </row>
    <row r="107" customFormat="false" ht="14.25" hidden="false" customHeight="false" outlineLevel="0" collapsed="false">
      <c r="A107" s="0" t="s">
        <v>420</v>
      </c>
    </row>
    <row r="108" customFormat="false" ht="14.25" hidden="false" customHeight="false" outlineLevel="0" collapsed="false">
      <c r="A108" s="0" t="s">
        <v>421</v>
      </c>
    </row>
    <row r="109" customFormat="false" ht="14.25" hidden="false" customHeight="false" outlineLevel="0" collapsed="false">
      <c r="A109" s="0" t="s">
        <v>422</v>
      </c>
    </row>
    <row r="110" customFormat="false" ht="14.25" hidden="false" customHeight="false" outlineLevel="0" collapsed="false">
      <c r="A110" s="0" t="s">
        <v>423</v>
      </c>
    </row>
    <row r="111" customFormat="false" ht="14.25" hidden="false" customHeight="false" outlineLevel="0" collapsed="false">
      <c r="A111" s="0" t="s">
        <v>424</v>
      </c>
    </row>
    <row r="112" customFormat="false" ht="14.25" hidden="false" customHeight="false" outlineLevel="0" collapsed="false">
      <c r="A112" s="0" t="s">
        <v>425</v>
      </c>
    </row>
    <row r="113" customFormat="false" ht="14.25" hidden="false" customHeight="false" outlineLevel="0" collapsed="false">
      <c r="A113" s="0" t="s">
        <v>426</v>
      </c>
    </row>
    <row r="114" customFormat="false" ht="14.25" hidden="false" customHeight="false" outlineLevel="0" collapsed="false">
      <c r="A114" s="0" t="s">
        <v>427</v>
      </c>
    </row>
    <row r="115" customFormat="false" ht="14.25" hidden="false" customHeight="false" outlineLevel="0" collapsed="false">
      <c r="A115" s="0" t="s">
        <v>428</v>
      </c>
    </row>
    <row r="116" customFormat="false" ht="14.25" hidden="false" customHeight="false" outlineLevel="0" collapsed="false">
      <c r="A116" s="0" t="s">
        <v>429</v>
      </c>
    </row>
    <row r="117" customFormat="false" ht="14.25" hidden="false" customHeight="false" outlineLevel="0" collapsed="false">
      <c r="A117" s="0" t="s">
        <v>430</v>
      </c>
    </row>
    <row r="118" customFormat="false" ht="14.25" hidden="false" customHeight="false" outlineLevel="0" collapsed="false">
      <c r="A118" s="0" t="s">
        <v>431</v>
      </c>
    </row>
    <row r="119" customFormat="false" ht="14.25" hidden="false" customHeight="false" outlineLevel="0" collapsed="false">
      <c r="A119" s="0" t="s">
        <v>432</v>
      </c>
    </row>
    <row r="120" customFormat="false" ht="14.25" hidden="false" customHeight="false" outlineLevel="0" collapsed="false">
      <c r="A120" s="0" t="s">
        <v>433</v>
      </c>
    </row>
    <row r="121" customFormat="false" ht="14.25" hidden="false" customHeight="false" outlineLevel="0" collapsed="false">
      <c r="A121" s="0" t="s">
        <v>434</v>
      </c>
    </row>
    <row r="122" customFormat="false" ht="14.25" hidden="false" customHeight="false" outlineLevel="0" collapsed="false">
      <c r="A122" s="0" t="s">
        <v>435</v>
      </c>
    </row>
    <row r="123" customFormat="false" ht="14.25" hidden="false" customHeight="false" outlineLevel="0" collapsed="false">
      <c r="A123" s="0" t="s">
        <v>436</v>
      </c>
    </row>
    <row r="124" customFormat="false" ht="14.25" hidden="false" customHeight="false" outlineLevel="0" collapsed="false">
      <c r="A124" s="0" t="s">
        <v>437</v>
      </c>
    </row>
    <row r="125" customFormat="false" ht="14.25" hidden="false" customHeight="false" outlineLevel="0" collapsed="false">
      <c r="A125" s="0" t="s">
        <v>438</v>
      </c>
    </row>
    <row r="126" customFormat="false" ht="14.25" hidden="false" customHeight="false" outlineLevel="0" collapsed="false">
      <c r="A126" s="0" t="n">
        <v>0</v>
      </c>
    </row>
    <row r="127" customFormat="false" ht="14.25" hidden="false" customHeight="false" outlineLevel="0" collapsed="false">
      <c r="A127" s="0" t="n">
        <v>31</v>
      </c>
    </row>
    <row r="128" customFormat="false" ht="14.25" hidden="false" customHeight="false" outlineLevel="0" collapsed="false">
      <c r="A128" s="0" t="s">
        <v>439</v>
      </c>
    </row>
    <row r="129" customFormat="false" ht="14.25" hidden="false" customHeight="false" outlineLevel="0" collapsed="false">
      <c r="A129" s="0" t="s">
        <v>440</v>
      </c>
    </row>
    <row r="130" customFormat="false" ht="14.25" hidden="false" customHeight="false" outlineLevel="0" collapsed="false">
      <c r="A130" s="0" t="s">
        <v>441</v>
      </c>
    </row>
    <row r="131" customFormat="false" ht="14.25" hidden="false" customHeight="false" outlineLevel="0" collapsed="false">
      <c r="A131" s="0" t="s">
        <v>209</v>
      </c>
    </row>
    <row r="132" customFormat="false" ht="14.25" hidden="false" customHeight="false" outlineLevel="0" collapsed="false">
      <c r="A132" s="0" t="s">
        <v>442</v>
      </c>
    </row>
    <row r="133" customFormat="false" ht="14.25" hidden="false" customHeight="false" outlineLevel="0" collapsed="false">
      <c r="A133" s="0" t="s">
        <v>443</v>
      </c>
    </row>
    <row r="134" customFormat="false" ht="14.25" hidden="false" customHeight="false" outlineLevel="0" collapsed="false">
      <c r="A134" s="0" t="s">
        <v>444</v>
      </c>
    </row>
    <row r="135" customFormat="false" ht="14.25" hidden="false" customHeight="false" outlineLevel="0" collapsed="false">
      <c r="A135" s="0" t="s">
        <v>445</v>
      </c>
    </row>
    <row r="136" customFormat="false" ht="14.25" hidden="false" customHeight="false" outlineLevel="0" collapsed="false">
      <c r="A136" s="0" t="s">
        <v>446</v>
      </c>
    </row>
    <row r="137" customFormat="false" ht="14.25" hidden="false" customHeight="false" outlineLevel="0" collapsed="false">
      <c r="A137" s="0" t="s">
        <v>447</v>
      </c>
    </row>
    <row r="138" customFormat="false" ht="14.25" hidden="false" customHeight="false" outlineLevel="0" collapsed="false">
      <c r="A138" s="0" t="s">
        <v>331</v>
      </c>
    </row>
    <row r="139" customFormat="false" ht="14.25" hidden="false" customHeight="false" outlineLevel="0" collapsed="false">
      <c r="A139" s="0" t="s">
        <v>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2026-04-11T18:14:31Z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
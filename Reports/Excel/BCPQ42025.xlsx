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BankAnalytics\"/>
    </mc:Choice>
  </mc:AlternateContent>
  <xr:revisionPtr revIDLastSave="0" documentId="13_ncr:1_{E9FEA07E-EEDF-44E6-A8E6-E4B170A1354F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" i="2" l="1" a="1"/>
  <c r="A58" i="2" s="1"/>
  <c r="A61" i="2" a="1"/>
  <c r="A61" i="2" s="1"/>
  <c r="A68" i="2" a="1"/>
  <c r="A68" i="2" s="1"/>
  <c r="A71" i="2" a="1"/>
  <c r="A71" i="2" s="1"/>
  <c r="A77" i="2" a="1"/>
  <c r="A77" i="2" s="1"/>
  <c r="A80" i="2" a="1"/>
  <c r="A8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<sst xmlns="http://schemas.openxmlformats.org/spreadsheetml/2006/main" count="560" uniqueCount="489">
  <si>
    <t>31/12/2025</t>
  </si>
  <si>
    <t>31/12/2024</t>
  </si>
  <si>
    <t>Actifs financiers à la juste valeur par résultat</t>
  </si>
  <si>
    <t>Actifs financiers détenus à des fins de transactions</t>
  </si>
  <si>
    <t>Autres actifs financiers à la juste valeur par résultat</t>
  </si>
  <si>
    <t>Instruments dérivés de couverture</t>
  </si>
  <si>
    <t>-</t>
  </si>
  <si>
    <t>Actifs financiers à la juste valeur par capitaux propres</t>
  </si>
  <si>
    <t>Instruments de dettes comptabilisés à la juste valeur par</t>
  </si>
  <si>
    <t>Titres au coût amorti</t>
  </si>
  <si>
    <t>Prêts et créances sur la clientèle, au coût amorti</t>
  </si>
  <si>
    <t>Placements des activités d'assurance</t>
  </si>
  <si>
    <t>Actifs d'impôt différé</t>
  </si>
  <si>
    <t>Comptes de régularisation et autres actifs</t>
  </si>
  <si>
    <t>Actifs non courants destinés à être cédés</t>
  </si>
  <si>
    <t>Participations dans des entreprises mises en équivalence</t>
  </si>
  <si>
    <t>Immeubles de placement</t>
  </si>
  <si>
    <t>Immobilisations corporelles</t>
  </si>
  <si>
    <t>Immobilisations incorporelles</t>
  </si>
  <si>
    <t>Passifs financiers à la juste valeur par résultat</t>
  </si>
  <si>
    <t>Passifs financiers détenus à des fins de transaction</t>
  </si>
  <si>
    <t>Passifs financiers à la juste valeur par résultat sur option</t>
  </si>
  <si>
    <t>Dettes envers la clientèle</t>
  </si>
  <si>
    <t>Titres de créance émis</t>
  </si>
  <si>
    <t>Passifs d'impôt différé</t>
  </si>
  <si>
    <t>Comptes de régularisation et autres passifs</t>
  </si>
  <si>
    <t>Capitaux propres</t>
  </si>
  <si>
    <t>Capital et réserves liées</t>
  </si>
  <si>
    <t>Réserves consolidées</t>
  </si>
  <si>
    <t>Résultat net de l’exercice</t>
  </si>
  <si>
    <t>COMPTE DE RÉSULTAT</t>
  </si>
  <si>
    <t>Gains ou pertes nets sur actifs/passifs de transaction</t>
  </si>
  <si>
    <t>Produits des autres activités</t>
  </si>
  <si>
    <t>Charges des autres activités</t>
  </si>
  <si>
    <t>PRODUIT NET BANCAIRE</t>
  </si>
  <si>
    <t>Charges générales d'exploitation</t>
  </si>
  <si>
    <t>Coût du risque</t>
  </si>
  <si>
    <t>Gains ou pertes nets sur autres actifs</t>
  </si>
  <si>
    <t>Impôts sur les résultats</t>
  </si>
  <si>
    <t>Intérêts minoritaires</t>
  </si>
  <si>
    <t>ACTIF</t>
  </si>
  <si>
    <t>Créances sur les établissements de crédit et assimilés</t>
  </si>
  <si>
    <t>Créances sur la clientèle</t>
  </si>
  <si>
    <t>Créances acquises par affacturage</t>
  </si>
  <si>
    <t>Titres de transaction et de placement</t>
  </si>
  <si>
    <t>Autres actifs</t>
  </si>
  <si>
    <t>Titres d'investissement</t>
  </si>
  <si>
    <t>Titres de participation et emplois assimilés</t>
  </si>
  <si>
    <t>Créances subordonnées</t>
  </si>
  <si>
    <t>Immobilisations données en crédit-bail et en location</t>
  </si>
  <si>
    <t>Immobilisations données en Ijara</t>
  </si>
  <si>
    <t>PASSIF</t>
  </si>
  <si>
    <t>Banques centrales, Trésor public, Service des chèques postaux</t>
  </si>
  <si>
    <t>Dettes envers les établissements de crédit et assimilés</t>
  </si>
  <si>
    <t>Dépôts de la clientèle</t>
  </si>
  <si>
    <t>Autres passifs</t>
  </si>
  <si>
    <t>Provisions pour risques et charges</t>
  </si>
  <si>
    <t>Provisions réglementées</t>
  </si>
  <si>
    <t>Subventions, fonds publics affectés et fonds spéciaux de garantie</t>
  </si>
  <si>
    <t>Dettes subordonnées</t>
  </si>
  <si>
    <t>Réserves et primes liées au capital</t>
  </si>
  <si>
    <t>Capital</t>
  </si>
  <si>
    <t>Actionnaires. Capital non versé (-)</t>
  </si>
  <si>
    <t>Report à nouveau (+/-)</t>
  </si>
  <si>
    <t>Résultats nets en instance d'affectation (+/-)</t>
  </si>
  <si>
    <t>Résultat net de l'exercice (+/-)</t>
  </si>
  <si>
    <t>PRODUITS D'EXPLOITATION BANCAIRE</t>
  </si>
  <si>
    <t>Intérêts, rémunérations et produits assimilés sur opérations avec la clientèle</t>
  </si>
  <si>
    <t>Intérêts et produits assimilés sur titres de créance</t>
  </si>
  <si>
    <t>Produits sur immobilisations en crédit-bail et en location</t>
  </si>
  <si>
    <t>Produits sur immobilisations données en Ijara</t>
  </si>
  <si>
    <t>Commissions sur prestations de service</t>
  </si>
  <si>
    <t>Autres produits bancaires</t>
  </si>
  <si>
    <t>Transfert de charges sur dépôts d'investissement reçus</t>
  </si>
  <si>
    <t>CHARGES D'EXPLOITATION BANCAIRE</t>
  </si>
  <si>
    <t>Intérêts et charges assimilées sur titres de créance émis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</si>
  <si>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</si>
  <si>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</si>
  <si>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</si>
  <si>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</si>
  <si>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Transfert de produits sur dépôts d'investissement reçus</t>
  </si>
  <si>
    <t>CHARGES GÉNÉRALES D'EXPLOITATION</t>
  </si>
  <si>
    <t>Charges de personnel</t>
  </si>
  <si>
    <t>Impôts et taxes</t>
  </si>
  <si>
    <t>Charges externes</t>
  </si>
  <si>
    <t>Autres charges générales d'exploitation</t>
  </si>
  <si>
    <t>Dotations aux amortissements et aux provisions des immobilisations</t>
  </si>
  <si>
    <t>incorporelles et corporelles</t>
  </si>
  <si>
    <t>souffrance</t>
  </si>
  <si>
    <t>Pertes sur créances irrécouvrables</t>
  </si>
  <si>
    <t>Autres dotations aux provisions</t>
  </si>
  <si>
    <t>Reprises de provisions pour créances et engagements par signature en</t>
  </si>
  <si>
    <t>Récupérations sur créances amorties</t>
  </si>
  <si>
    <t>Autres reprises de provisions</t>
  </si>
  <si>
    <t>RÉSULTAT COURANT</t>
  </si>
  <si>
    <t>Produits non courants</t>
  </si>
  <si>
    <t>Charges non courantes</t>
  </si>
  <si>
    <t>RÉSULTAT NET DE L'EXERCICE</t>
  </si>
  <si>
    <t>ACTIF CONSOLIDÉ IFRS</t>
  </si>
  <si>
    <t>Valeurs en caisse, Banques Centrales, Trésor public,</t>
  </si>
  <si>
    <t>Service des chèques postaux</t>
  </si>
  <si>
    <t>26 391 414</t>
  </si>
  <si>
    <t>20 240 625</t>
  </si>
  <si>
    <t>106 993 943</t>
  </si>
  <si>
    <t>103 426 956</t>
  </si>
  <si>
    <t>74 468 853</t>
  </si>
  <si>
    <t>71 114 649</t>
  </si>
  <si>
    <t>32 525 090</t>
  </si>
  <si>
    <t>32 312 307</t>
  </si>
  <si>
    <t>35 436 527</t>
  </si>
  <si>
    <t>36 028 396</t>
  </si>
  <si>
    <t>capitaux propres recyclables</t>
  </si>
  <si>
    <t>28 404 357</t>
  </si>
  <si>
    <t>28 070 276</t>
  </si>
  <si>
    <t>Instruments de capitaux propres comptabilisés à la</t>
  </si>
  <si>
    <t>juste valeur par capitaux propres non recyclables</t>
  </si>
  <si>
    <t>7 032 170</t>
  </si>
  <si>
    <t>7 958 120</t>
  </si>
  <si>
    <t>29 122 889</t>
  </si>
  <si>
    <t>30 251 624</t>
  </si>
  <si>
    <t>Prêts et créances sur les établissements de crédit et assimilés, au</t>
  </si>
  <si>
    <t>coût amorti</t>
  </si>
  <si>
    <t>36 068 352</t>
  </si>
  <si>
    <t>27 610 227</t>
  </si>
  <si>
    <t>298 800 863</t>
  </si>
  <si>
    <t>287 240 813</t>
  </si>
  <si>
    <t>Écart de réévaluation actif des portefeuilles couverts en</t>
  </si>
  <si>
    <t>taux</t>
  </si>
  <si>
    <t>2 807 484</t>
  </si>
  <si>
    <t>2 274 792</t>
  </si>
  <si>
    <t>Actifs des contrats d'assurance</t>
  </si>
  <si>
    <t>429 589</t>
  </si>
  <si>
    <t>256 979</t>
  </si>
  <si>
    <t>Actifs d'impôt exigible</t>
  </si>
  <si>
    <t>1 603 235</t>
  </si>
  <si>
    <t>1 616 954</t>
  </si>
  <si>
    <t>5 457 578</t>
  </si>
  <si>
    <t>4 943 941</t>
  </si>
  <si>
    <t>8 556 158</t>
  </si>
  <si>
    <t>8 307 858</t>
  </si>
  <si>
    <t>30 440</t>
  </si>
  <si>
    <t>29 649</t>
  </si>
  <si>
    <t>4 918 452</t>
  </si>
  <si>
    <t>6 131 612</t>
  </si>
  <si>
    <t>11 204 494</t>
  </si>
  <si>
    <t>10 471 360</t>
  </si>
  <si>
    <t>1 076 800</t>
  </si>
  <si>
    <t>1 103 036</t>
  </si>
  <si>
    <t>Écarts d'acquisition</t>
  </si>
  <si>
    <t>2 345 992</t>
  </si>
  <si>
    <t>2 343 738</t>
  </si>
  <si>
    <t>TOTAL ACTIF IFRS</t>
  </si>
  <si>
    <t>571 244 210</t>
  </si>
  <si>
    <t>542 278 560</t>
  </si>
  <si>
    <t>PASSIF CONSOLIDÉ IFRS</t>
  </si>
  <si>
    <t>Banques centrales, Trésor public, Service des chèques</t>
  </si>
  <si>
    <t>postaux</t>
  </si>
  <si>
    <t>2 576</t>
  </si>
  <si>
    <t>7 553</t>
  </si>
  <si>
    <t>Dettes envers les Établissements de crédit et assimilés</t>
  </si>
  <si>
    <t>Dettes représentées par un titre</t>
  </si>
  <si>
    <t>420 917</t>
  </si>
  <si>
    <t>401 080</t>
  </si>
  <si>
    <t>Écart de réévaluation passif des portefeuilles couverts</t>
  </si>
  <si>
    <t>en taux</t>
  </si>
  <si>
    <t>Passifs d'impôt courant</t>
  </si>
  <si>
    <t>3 356 004</t>
  </si>
  <si>
    <t>4 212 351</t>
  </si>
  <si>
    <t>1 275 755</t>
  </si>
  <si>
    <t>1 047 434</t>
  </si>
  <si>
    <t>18 287 394</t>
  </si>
  <si>
    <t>14 956 553</t>
  </si>
  <si>
    <t>Dettes liées aux actifs non courants destinés à être</t>
  </si>
  <si>
    <t>cédés</t>
  </si>
  <si>
    <t>Passifs des contrats d'assurance</t>
  </si>
  <si>
    <t>2 942 499</t>
  </si>
  <si>
    <t>2 577 887</t>
  </si>
  <si>
    <t>8 416 327</t>
  </si>
  <si>
    <t>7 808 025</t>
  </si>
  <si>
    <t>Subventions, fonds publics affectés et fonds spéciaux</t>
  </si>
  <si>
    <t>de garantie</t>
  </si>
  <si>
    <t>4 477 044</t>
  </si>
  <si>
    <t>4 025 107</t>
  </si>
  <si>
    <t>12 385 273</t>
  </si>
  <si>
    <t>11 517 811</t>
  </si>
  <si>
    <t>57 956 029</t>
  </si>
  <si>
    <t>57 167 311</t>
  </si>
  <si>
    <t>Actions propres</t>
  </si>
  <si>
    <t>22 474 915</t>
  </si>
  <si>
    <t>22 621 683</t>
  </si>
  <si>
    <t>2 228 023</t>
  </si>
  <si>
    <t>3 070 328</t>
  </si>
  <si>
    <t>20 246 892</t>
  </si>
  <si>
    <t>19 551 355</t>
  </si>
  <si>
    <t>Gains ou pertes comptabilisés directement en capitaux</t>
  </si>
  <si>
    <t>propres</t>
  </si>
  <si>
    <t>-1 343 124</t>
  </si>
  <si>
    <t>-859 201</t>
  </si>
  <si>
    <t>-959 548</t>
  </si>
  <si>
    <t>-610 092</t>
  </si>
  <si>
    <t>-383 576</t>
  </si>
  <si>
    <t>-249 109</t>
  </si>
  <si>
    <t>5 621 085</t>
  </si>
  <si>
    <t>4 966 562</t>
  </si>
  <si>
    <t>4 503 361</t>
  </si>
  <si>
    <t>4 145 346</t>
  </si>
  <si>
    <t>1 117 724</t>
  </si>
  <si>
    <t>821 216</t>
  </si>
  <si>
    <t>TOTAL PASSIF IFRS</t>
  </si>
  <si>
    <t>Intérêts et produits assimilés</t>
  </si>
  <si>
    <t>21 559 247</t>
  </si>
  <si>
    <t>20 957 673</t>
  </si>
  <si>
    <t>Intérêts et charges assimilés</t>
  </si>
  <si>
    <t>-6 016 011</t>
  </si>
  <si>
    <t>-6 338 750</t>
  </si>
  <si>
    <t>MARGE D' INTÉRÊTS</t>
  </si>
  <si>
    <t>15 543 236</t>
  </si>
  <si>
    <t>14 618 923</t>
  </si>
  <si>
    <t>Commissions perçues</t>
  </si>
  <si>
    <t>5 041 396</t>
  </si>
  <si>
    <t>4 781 465</t>
  </si>
  <si>
    <t>Commissions servies</t>
  </si>
  <si>
    <t>-657 266</t>
  </si>
  <si>
    <t>-619 928</t>
  </si>
  <si>
    <t>MARGE SUR COMMISSIONS</t>
  </si>
  <si>
    <t>4 384 130</t>
  </si>
  <si>
    <t>4 161 537</t>
  </si>
  <si>
    <t>+/- Gains ou pertes nets résultant des couvertures de position nette</t>
  </si>
  <si>
    <t>+/- Gains ou pertes nets des instruments financiers à la juste valeur par résultat</t>
  </si>
  <si>
    <t>4 688 426</t>
  </si>
  <si>
    <t>4 889 974</t>
  </si>
  <si>
    <t>4 155 854</t>
  </si>
  <si>
    <t>4 628 719</t>
  </si>
  <si>
    <t>Gains ou pertes nets sur autres actifs/passifs à la juste valeur par résultat</t>
  </si>
  <si>
    <t>532 572</t>
  </si>
  <si>
    <t>261 255</t>
  </si>
  <si>
    <t>+/- Gains ou pertes nets des instruments financiers à la juste valeur par capitaux propres</t>
  </si>
  <si>
    <t>1 439 592</t>
  </si>
  <si>
    <t>1 061 173</t>
  </si>
  <si>
    <t>Gains ou pertes nets sur instruments de dettes comptabilisés en capitaux propres recyclables</t>
  </si>
  <si>
    <t>-3 053</t>
  </si>
  <si>
    <t>Rémunération des instruments de capitaux propres comptabilisés en capitaux propres non recyclables (dividendes)</t>
  </si>
  <si>
    <t>1 442 645</t>
  </si>
  <si>
    <t>1 060 938</t>
  </si>
  <si>
    <t>+/- Gains ou pertes nets résultant de la décomptabilisation d’actifs financiers au coût amorti</t>
  </si>
  <si>
    <t>+/- Gains ou pertes nets résultant du reclassement d’actifs financiers au coût amorti en actifs financiers à la juste valeur par résultat</t>
  </si>
  <si>
    <t>+/- Gains ou pertes nets résultant du reclassement d’actifs financiers à la juste valeur par capitaux propres en actifs financiers à la juste valeur par résultat</t>
  </si>
  <si>
    <t>RÉSULTAT DES ACTIVITÉS DE MARCHE</t>
  </si>
  <si>
    <t>6 128 018</t>
  </si>
  <si>
    <t>5 951 147</t>
  </si>
  <si>
    <t>552 192</t>
  </si>
  <si>
    <t>575 834</t>
  </si>
  <si>
    <t>-167 256</t>
  </si>
  <si>
    <t>-155 753</t>
  </si>
  <si>
    <t>PRODUITS NETS DES ACTIVITÉS D'ASSURANCE</t>
  </si>
  <si>
    <t>544 838</t>
  </si>
  <si>
    <t>449 519</t>
  </si>
  <si>
    <t>26 985 158</t>
  </si>
  <si>
    <t>25 601 207</t>
  </si>
  <si>
    <t>-10 578 464</t>
  </si>
  <si>
    <t>-10 151 569</t>
  </si>
  <si>
    <t>Dotations aux amortissements et aux dépréciations des immobilisations incorporelles et corporelles</t>
  </si>
  <si>
    <t>-1 467 315</t>
  </si>
  <si>
    <t>-1 404 562</t>
  </si>
  <si>
    <t>RÉSULTAT BRUT D'EXPLOITATION</t>
  </si>
  <si>
    <t>14 939 379</t>
  </si>
  <si>
    <t>14 045 076</t>
  </si>
  <si>
    <t>-5 362 624</t>
  </si>
  <si>
    <t>-6 196 439</t>
  </si>
  <si>
    <t>RÉSULTAT D'EXPLOITATION</t>
  </si>
  <si>
    <t>9 576 755</t>
  </si>
  <si>
    <t>7 848 637</t>
  </si>
  <si>
    <t>Quote-part du résultat net des entreprises mises en équivalence</t>
  </si>
  <si>
    <t>-39 787</t>
  </si>
  <si>
    <t>-9 279</t>
  </si>
  <si>
    <t>21 757</t>
  </si>
  <si>
    <t>56 322</t>
  </si>
  <si>
    <t>Variations de valeurs des écarts d'acquisition</t>
  </si>
  <si>
    <t>RÉSULTAT AVANT IMPÔTS</t>
  </si>
  <si>
    <t>9 558 725</t>
  </si>
  <si>
    <t>7 895 680</t>
  </si>
  <si>
    <t>Impôts sur les bénéfices</t>
  </si>
  <si>
    <t>-3 937 640</t>
  </si>
  <si>
    <t>-2 929 118</t>
  </si>
  <si>
    <t>RÉSULTAT NET</t>
  </si>
  <si>
    <t>RÉSULTAT NET-PART DU GROUPE</t>
  </si>
  <si>
    <t>Résultat par action ( en dirham)</t>
  </si>
  <si>
    <t>22,15</t>
  </si>
  <si>
    <t>20,39</t>
  </si>
  <si>
    <t>Résultat dilué par action ( en dirham)</t>
  </si>
  <si>
    <t>Valeurs en caisse, Banques centrales, Trésor public, Service des chèques postaux</t>
  </si>
  <si>
    <t>10 019 744</t>
  </si>
  <si>
    <t>5 654 281</t>
  </si>
  <si>
    <t>64 737 825</t>
  </si>
  <si>
    <t>53 723 517</t>
  </si>
  <si>
    <t>A vue</t>
  </si>
  <si>
    <t>10 349 470</t>
  </si>
  <si>
    <t>7 657 592</t>
  </si>
  <si>
    <t>A terme</t>
  </si>
  <si>
    <t>54 388 355</t>
  </si>
  <si>
    <t>46 065 925</t>
  </si>
  <si>
    <t>• Crédits et financements participatifs de trésorerie et à la consommation</t>
  </si>
  <si>
    <t>30 554 556</t>
  </si>
  <si>
    <t>31 028 873</t>
  </si>
  <si>
    <t>• Crédits et financements participatifs à l'équipement</t>
  </si>
  <si>
    <t>48 121 957</t>
  </si>
  <si>
    <t>37 663 569</t>
  </si>
  <si>
    <t>• Crédits et financements participatifs immobiliers</t>
  </si>
  <si>
    <t>20 944 863</t>
  </si>
  <si>
    <t>21 664 483</t>
  </si>
  <si>
    <t>• Autres crédits et financements participatifs</t>
  </si>
  <si>
    <t>19 542 709</t>
  </si>
  <si>
    <t>22 549 566</t>
  </si>
  <si>
    <t>5 893 144</t>
  </si>
  <si>
    <t>6 972 718</t>
  </si>
  <si>
    <t>95 551 094</t>
  </si>
  <si>
    <t>91 663 549</t>
  </si>
  <si>
    <t>• Bons du Trésor et valeurs assimilées</t>
  </si>
  <si>
    <t>47 352 372</t>
  </si>
  <si>
    <t>44 588 789</t>
  </si>
  <si>
    <t>• Autres titres de créance</t>
  </si>
  <si>
    <t>726 510</t>
  </si>
  <si>
    <t>852 685</t>
  </si>
  <si>
    <t>• Titres de propriété</t>
  </si>
  <si>
    <t>47 472 212</t>
  </si>
  <si>
    <t>46 222 075</t>
  </si>
  <si>
    <t>• Certificats de Sukuks</t>
  </si>
  <si>
    <t>7 547 629</t>
  </si>
  <si>
    <t>5 808 997</t>
  </si>
  <si>
    <t>30 096 146</t>
  </si>
  <si>
    <t>31 562 486</t>
  </si>
  <si>
    <t>28 109 724</t>
  </si>
  <si>
    <t>29 540 786</t>
  </si>
  <si>
    <t>1 986 422</t>
  </si>
  <si>
    <t>2 021 700</t>
  </si>
  <si>
    <t>33 505 954</t>
  </si>
  <si>
    <t>32 187 519</t>
  </si>
  <si>
    <t>• Participation dans les entreprises liées</t>
  </si>
  <si>
    <t>31 140 766</t>
  </si>
  <si>
    <t>29 681 247</t>
  </si>
  <si>
    <t>• Autres titres de participation et emplois assimilés</t>
  </si>
  <si>
    <t>2 365 188</t>
  </si>
  <si>
    <t>2 506 272</t>
  </si>
  <si>
    <t>• Titres de Moudaraba et Moucharaka</t>
  </si>
  <si>
    <t>253 933</t>
  </si>
  <si>
    <t>151 370</t>
  </si>
  <si>
    <t>Dépôts d'investissement placés</t>
  </si>
  <si>
    <t>3 024 249</t>
  </si>
  <si>
    <t>2 254 100</t>
  </si>
  <si>
    <t>3 067</t>
  </si>
  <si>
    <t>3 227</t>
  </si>
  <si>
    <t>379 270</t>
  </si>
  <si>
    <t>400 727</t>
  </si>
  <si>
    <t>2 728 346</t>
  </si>
  <si>
    <t>2 686 750</t>
  </si>
  <si>
    <t>TOTAL DE L’ACTIF</t>
  </si>
  <si>
    <t>224 539 634</t>
  </si>
  <si>
    <t>204 734 678</t>
  </si>
  <si>
    <t>188 791 651</t>
  </si>
  <si>
    <t>171 184 355</t>
  </si>
  <si>
    <t>35 747 983</t>
  </si>
  <si>
    <t>33 550 323</t>
  </si>
  <si>
    <t>81 319 404</t>
  </si>
  <si>
    <t>80 455 173</t>
  </si>
  <si>
    <t>• Comptes à vue créditeurs</t>
  </si>
  <si>
    <t>62 613 831</t>
  </si>
  <si>
    <t>60 490 315</t>
  </si>
  <si>
    <t>• Comptes d'épargne</t>
  </si>
  <si>
    <t>8 792 823</t>
  </si>
  <si>
    <t>8 723 490</t>
  </si>
  <si>
    <t>• Dépôts à terme</t>
  </si>
  <si>
    <t>6 683 677</t>
  </si>
  <si>
    <t>7 553 818</t>
  </si>
  <si>
    <t>• Autres comptes créditeurs</t>
  </si>
  <si>
    <t>3 229 073</t>
  </si>
  <si>
    <t>3 687 550</t>
  </si>
  <si>
    <t>Dettes envers la clientèle sur produits participatifs</t>
  </si>
  <si>
    <t>• Titres de créance négociables</t>
  </si>
  <si>
    <t>• Emprunts obligataires</t>
  </si>
  <si>
    <t>• Autres titres de créance émis</t>
  </si>
  <si>
    <t>7 202 395</t>
  </si>
  <si>
    <t>5 202 617</t>
  </si>
  <si>
    <t>8 497 380</t>
  </si>
  <si>
    <t>6 595 374</t>
  </si>
  <si>
    <t>4 427 535</t>
  </si>
  <si>
    <t>3 977 271</t>
  </si>
  <si>
    <t>12 432 446</t>
  </si>
  <si>
    <t>11 632 845</t>
  </si>
  <si>
    <t>Dépôts d'investissement reçus</t>
  </si>
  <si>
    <t>Ecarts de réévaluation</t>
  </si>
  <si>
    <t>28 454 570</t>
  </si>
  <si>
    <t>27 767 777</t>
  </si>
  <si>
    <t>2 033 125</t>
  </si>
  <si>
    <t>715 458</t>
  </si>
  <si>
    <t>637 366</t>
  </si>
  <si>
    <t>3 282 906</t>
  </si>
  <si>
    <t>2 939 923</t>
  </si>
  <si>
    <t>TOTAL DU PASSIF</t>
  </si>
  <si>
    <t>372 904 872</t>
  </si>
  <si>
    <t>345 976 160</t>
  </si>
  <si>
    <t>19 940 394</t>
  </si>
  <si>
    <t>17 631 643</t>
  </si>
  <si>
    <t>Intérêts, rémunérations et produits assimilés sur opérations avec</t>
  </si>
  <si>
    <t>les établissements de crédit</t>
  </si>
  <si>
    <t>2 136 334</t>
  </si>
  <si>
    <t>2 204 121</t>
  </si>
  <si>
    <t>5 503 063</t>
  </si>
  <si>
    <t>5 119 785</t>
  </si>
  <si>
    <t>1 405 476</t>
  </si>
  <si>
    <t>1 401 348</t>
  </si>
  <si>
    <t>Produits sur titres de propriété et certificats de Sukuks</t>
  </si>
  <si>
    <t>2 869 812</t>
  </si>
  <si>
    <t>2 101 174</t>
  </si>
  <si>
    <t>Produits sur titres de Moudaraba et Moucharaka</t>
  </si>
  <si>
    <t>754 273</t>
  </si>
  <si>
    <t>814 727</t>
  </si>
  <si>
    <t>7 271 233</t>
  </si>
  <si>
    <t>5 990 310</t>
  </si>
  <si>
    <t>8 864 043</t>
  </si>
  <si>
    <t>7 613 309</t>
  </si>
  <si>
    <t>Intérêts et charges sur opérations avec les établissements de crédit et assimilés</t>
  </si>
  <si>
    <t>4 842 710</t>
  </si>
  <si>
    <t>4 501 757</t>
  </si>
  <si>
    <t>Intérêts et charges sur opérations avec la clientèle</t>
  </si>
  <si>
    <t>833 555</t>
  </si>
  <si>
    <t>911 745</t>
  </si>
  <si>
    <t>3 187 575</t>
  </si>
  <si>
    <t>2 199 605</t>
  </si>
  <si>
    <t>11 076 351</t>
  </si>
  <si>
    <t>10 018 334</t>
  </si>
  <si>
    <t>Produits d'exploitation non bancaires</t>
  </si>
  <si>
    <t>1 827 859</t>
  </si>
  <si>
    <t>1 721 267</t>
  </si>
  <si>
    <t>Charges d'exploitation non bancaires</t>
  </si>
  <si>
    <t>320 626</t>
  </si>
  <si>
    <t>287 231</t>
  </si>
  <si>
    <t>3 756 337</t>
  </si>
  <si>
    <t>3 649 190</t>
  </si>
  <si>
    <t>1 231 123</t>
  </si>
  <si>
    <t>1 206 840</t>
  </si>
  <si>
    <t>71 126</t>
  </si>
  <si>
    <t>82 128</t>
  </si>
  <si>
    <t>1 908 358</t>
  </si>
  <si>
    <t>1 811 703</t>
  </si>
  <si>
    <t>303 808</t>
  </si>
  <si>
    <t>315 889</t>
  </si>
  <si>
    <t>241 922</t>
  </si>
  <si>
    <t>232 630</t>
  </si>
  <si>
    <t>DOTATIONS AUX PROVISIONS ET PERTES SUR CRÉANCES IRRÉCOUVRABLES</t>
  </si>
  <si>
    <t>6 171 023</t>
  </si>
  <si>
    <t>4 266 436</t>
  </si>
  <si>
    <t>Dotations aux provisions pour créances et engagements par signature</t>
  </si>
  <si>
    <t>en souffrance</t>
  </si>
  <si>
    <t>897 561</t>
  </si>
  <si>
    <t>1 749 231</t>
  </si>
  <si>
    <t>2 318 578</t>
  </si>
  <si>
    <t>413 431</t>
  </si>
  <si>
    <t>2 954 884</t>
  </si>
  <si>
    <t>2 103 774</t>
  </si>
  <si>
    <t>REPRISES DE PROVISIONS ET RÉCUPÉRATIONS SUR CRÉANCES AMORTIES</t>
  </si>
  <si>
    <t>3 044 329</t>
  </si>
  <si>
    <t>1 339 550</t>
  </si>
  <si>
    <t>2 700 489</t>
  </si>
  <si>
    <t>948 422</t>
  </si>
  <si>
    <t>71 681</t>
  </si>
  <si>
    <t>31 417</t>
  </si>
  <si>
    <t>272 159</t>
  </si>
  <si>
    <t>359 711</t>
  </si>
  <si>
    <t>5 700 553</t>
  </si>
  <si>
    <t>4 876 294</t>
  </si>
  <si>
    <t>32 423</t>
  </si>
  <si>
    <t>163 270</t>
  </si>
  <si>
    <t>282 524</t>
  </si>
  <si>
    <t>372 135</t>
  </si>
  <si>
    <t>5 450 452</t>
  </si>
  <si>
    <t>4 667 429</t>
  </si>
  <si>
    <t>2 167 546</t>
  </si>
  <si>
    <t>1 727 506</t>
  </si>
  <si>
    <t>49 845 302</t>
  </si>
  <si>
    <t>49 566 074</t>
  </si>
  <si>
    <t xml:space="preserve">411 879 090 </t>
  </si>
  <si>
    <t>388 991 374</t>
  </si>
  <si>
    <t xml:space="preserve">31 203 153 </t>
  </si>
  <si>
    <t>30 438 267</t>
  </si>
  <si>
    <t xml:space="preserve">571 244 210 </t>
  </si>
  <si>
    <t xml:space="preserve">119 164 085 </t>
  </si>
  <si>
    <t>112 906 491</t>
  </si>
  <si>
    <t xml:space="preserve">372 904 872 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</si>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</sst>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workbookViewId="0">
      <selection activeCell="A79" sqref="A79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98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99</v>
      </c>
    </row>
    <row r="5" spans="1:1" x14ac:dyDescent="0.3">
      <c r="A5" t="s">
        <v>100</v>
      </c>
    </row>
    <row r="6" spans="1:1" x14ac:dyDescent="0.3">
      <c r="A6" t="s">
        <v>101</v>
      </c>
    </row>
    <row r="7" spans="1:1" x14ac:dyDescent="0.3">
      <c r="A7" t="s">
        <v>102</v>
      </c>
    </row>
    <row r="8" spans="1:1" x14ac:dyDescent="0.3">
      <c r="A8" t="s">
        <v>2</v>
      </c>
    </row>
    <row r="9" spans="1:1" x14ac:dyDescent="0.3">
      <c r="A9" t="s">
        <v>103</v>
      </c>
    </row>
    <row r="10" spans="1:1" x14ac:dyDescent="0.3">
      <c r="A10" t="s">
        <v>104</v>
      </c>
    </row>
    <row r="11" spans="1:1" x14ac:dyDescent="0.3">
      <c r="A11" t="s">
        <v>3</v>
      </c>
    </row>
    <row r="12" spans="1:1" x14ac:dyDescent="0.3">
      <c r="A12" t="s">
        <v>105</v>
      </c>
    </row>
    <row r="13" spans="1:1" x14ac:dyDescent="0.3">
      <c r="A13" t="s">
        <v>106</v>
      </c>
    </row>
    <row r="14" spans="1:1" x14ac:dyDescent="0.3">
      <c r="A14" t="s">
        <v>4</v>
      </c>
    </row>
    <row r="15" spans="1:1" x14ac:dyDescent="0.3">
      <c r="A15" t="s">
        <v>107</v>
      </c>
    </row>
    <row r="16" spans="1:1" x14ac:dyDescent="0.3">
      <c r="A16" t="s">
        <v>108</v>
      </c>
    </row>
    <row r="17" spans="1:1" x14ac:dyDescent="0.3">
      <c r="A17" t="s">
        <v>5</v>
      </c>
    </row>
    <row r="18" spans="1:1" x14ac:dyDescent="0.3">
      <c r="A18" t="s">
        <v>7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8</v>
      </c>
    </row>
    <row r="22" spans="1:1" x14ac:dyDescent="0.3">
      <c r="A22" t="s">
        <v>111</v>
      </c>
    </row>
    <row r="23" spans="1:1" x14ac:dyDescent="0.3">
      <c r="A23" t="s">
        <v>112</v>
      </c>
    </row>
    <row r="24" spans="1:1" x14ac:dyDescent="0.3">
      <c r="A24" t="s">
        <v>113</v>
      </c>
    </row>
    <row r="25" spans="1:1" x14ac:dyDescent="0.3">
      <c r="A25" t="s">
        <v>114</v>
      </c>
    </row>
    <row r="26" spans="1:1" x14ac:dyDescent="0.3">
      <c r="A26" t="s">
        <v>115</v>
      </c>
    </row>
    <row r="27" spans="1:1" x14ac:dyDescent="0.3">
      <c r="A27" t="s">
        <v>116</v>
      </c>
    </row>
    <row r="28" spans="1:1" x14ac:dyDescent="0.3">
      <c r="A28" t="s">
        <v>117</v>
      </c>
    </row>
    <row r="29" spans="1:1" x14ac:dyDescent="0.3">
      <c r="A29" t="s">
        <v>9</v>
      </c>
    </row>
    <row r="30" spans="1:1" x14ac:dyDescent="0.3">
      <c r="A30" t="s">
        <v>118</v>
      </c>
    </row>
    <row r="31" spans="1:1" x14ac:dyDescent="0.3">
      <c r="A31" t="s">
        <v>119</v>
      </c>
    </row>
    <row r="32" spans="1:1" x14ac:dyDescent="0.3">
      <c r="A32" t="s">
        <v>120</v>
      </c>
    </row>
    <row r="33" spans="1:1" x14ac:dyDescent="0.3">
      <c r="A33" t="s">
        <v>121</v>
      </c>
    </row>
    <row r="34" spans="1:1" x14ac:dyDescent="0.3">
      <c r="A34" t="s">
        <v>122</v>
      </c>
    </row>
    <row r="35" spans="1:1" x14ac:dyDescent="0.3">
      <c r="A35" t="s">
        <v>123</v>
      </c>
    </row>
    <row r="36" spans="1:1" x14ac:dyDescent="0.3">
      <c r="A36" t="s">
        <v>10</v>
      </c>
    </row>
    <row r="37" spans="1:1" x14ac:dyDescent="0.3">
      <c r="A37" t="s">
        <v>124</v>
      </c>
    </row>
    <row r="38" spans="1:1" x14ac:dyDescent="0.3">
      <c r="A38" t="s">
        <v>125</v>
      </c>
    </row>
    <row r="39" spans="1:1" x14ac:dyDescent="0.3">
      <c r="A39" t="s">
        <v>126</v>
      </c>
    </row>
    <row r="40" spans="1:1" x14ac:dyDescent="0.3">
      <c r="A40" t="s">
        <v>127</v>
      </c>
    </row>
    <row r="41" spans="1:1" x14ac:dyDescent="0.3">
      <c r="A41" t="s">
        <v>11</v>
      </c>
    </row>
    <row r="42" spans="1:1" x14ac:dyDescent="0.3">
      <c r="A42" t="s">
        <v>128</v>
      </c>
    </row>
    <row r="43" spans="1:1" x14ac:dyDescent="0.3">
      <c r="A43" t="s">
        <v>129</v>
      </c>
    </row>
    <row r="44" spans="1:1" x14ac:dyDescent="0.3">
      <c r="A44" t="s">
        <v>130</v>
      </c>
    </row>
    <row r="45" spans="1:1" x14ac:dyDescent="0.3">
      <c r="A45" t="s">
        <v>131</v>
      </c>
    </row>
    <row r="46" spans="1:1" x14ac:dyDescent="0.3">
      <c r="A46" t="s">
        <v>132</v>
      </c>
    </row>
    <row r="47" spans="1:1" x14ac:dyDescent="0.3">
      <c r="A47" t="s">
        <v>133</v>
      </c>
    </row>
    <row r="48" spans="1:1" x14ac:dyDescent="0.3">
      <c r="A48" t="s">
        <v>134</v>
      </c>
    </row>
    <row r="49" spans="1:1" x14ac:dyDescent="0.3">
      <c r="A49" t="s">
        <v>135</v>
      </c>
    </row>
    <row r="50" spans="1:1" x14ac:dyDescent="0.3">
      <c r="A50" t="s">
        <v>12</v>
      </c>
    </row>
    <row r="51" spans="1:1" x14ac:dyDescent="0.3">
      <c r="A51" t="s">
        <v>136</v>
      </c>
    </row>
    <row r="52" spans="1:1" x14ac:dyDescent="0.3">
      <c r="A52" t="s">
        <v>137</v>
      </c>
    </row>
    <row r="53" spans="1:1" x14ac:dyDescent="0.3">
      <c r="A53" t="s">
        <v>13</v>
      </c>
    </row>
    <row r="54" spans="1:1" x14ac:dyDescent="0.3">
      <c r="A54" t="s">
        <v>138</v>
      </c>
    </row>
    <row r="55" spans="1:1" x14ac:dyDescent="0.3">
      <c r="A55" t="s">
        <v>139</v>
      </c>
    </row>
    <row r="56" spans="1:1" x14ac:dyDescent="0.3">
      <c r="A56" t="s">
        <v>14</v>
      </c>
    </row>
    <row r="57" spans="1:1" x14ac:dyDescent="0.3">
      <c r="A57" t="s">
        <v>15</v>
      </c>
    </row>
    <row r="58" spans="1:1" x14ac:dyDescent="0.3">
      <c r="A58" t="s">
        <v>140</v>
      </c>
    </row>
    <row r="59" spans="1:1" x14ac:dyDescent="0.3">
      <c r="A59" t="s">
        <v>141</v>
      </c>
    </row>
    <row r="60" spans="1:1" x14ac:dyDescent="0.3">
      <c r="A60" t="s">
        <v>16</v>
      </c>
    </row>
    <row r="61" spans="1:1" x14ac:dyDescent="0.3">
      <c r="A61" t="s">
        <v>142</v>
      </c>
    </row>
    <row r="62" spans="1:1" x14ac:dyDescent="0.3">
      <c r="A62" t="s">
        <v>143</v>
      </c>
    </row>
    <row r="63" spans="1:1" x14ac:dyDescent="0.3">
      <c r="A63" t="s">
        <v>17</v>
      </c>
    </row>
    <row r="64" spans="1:1" x14ac:dyDescent="0.3">
      <c r="A64" t="s">
        <v>144</v>
      </c>
    </row>
    <row r="65" spans="1:1" x14ac:dyDescent="0.3">
      <c r="A65" t="s">
        <v>145</v>
      </c>
    </row>
    <row r="66" spans="1:1" x14ac:dyDescent="0.3">
      <c r="A66" t="s">
        <v>18</v>
      </c>
    </row>
    <row r="67" spans="1:1" x14ac:dyDescent="0.3">
      <c r="A67" t="s">
        <v>146</v>
      </c>
    </row>
    <row r="68" spans="1:1" x14ac:dyDescent="0.3">
      <c r="A68" t="s">
        <v>147</v>
      </c>
    </row>
    <row r="69" spans="1:1" x14ac:dyDescent="0.3">
      <c r="A69" t="s">
        <v>148</v>
      </c>
    </row>
    <row r="70" spans="1:1" x14ac:dyDescent="0.3">
      <c r="A70" t="s">
        <v>149</v>
      </c>
    </row>
    <row r="71" spans="1:1" x14ac:dyDescent="0.3">
      <c r="A71" t="s">
        <v>150</v>
      </c>
    </row>
    <row r="72" spans="1:1" x14ac:dyDescent="0.3">
      <c r="A72" t="s">
        <v>151</v>
      </c>
    </row>
    <row r="73" spans="1:1" x14ac:dyDescent="0.3">
      <c r="A73" t="s">
        <v>152</v>
      </c>
    </row>
    <row r="74" spans="1:1" x14ac:dyDescent="0.3">
      <c r="A74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C3DB-8F1D-4EFF-B480-132535D96196}">
  <dimension ref="A1:A85"/>
  <sheetViews>
    <sheetView workbookViewId="0">
      <selection activeCell="A75" sqref="A75"/>
    </sheetView>
  </sheetViews>
  <sheetFormatPr defaultRowHeight="14.4" x14ac:dyDescent="0.3"/>
  <cols>
    <col min="1" max="1" width="52.5546875" bestFit="1" customWidth="1"/>
  </cols>
  <sheetData>
    <row r="1" spans="1:1" x14ac:dyDescent="0.3">
      <c r="A1" t="s">
        <v>154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155</v>
      </c>
    </row>
    <row r="5" spans="1:1" x14ac:dyDescent="0.3">
      <c r="A5" t="s">
        <v>156</v>
      </c>
    </row>
    <row r="6" spans="1:1" x14ac:dyDescent="0.3">
      <c r="A6" t="s">
        <v>157</v>
      </c>
    </row>
    <row r="7" spans="1:1" x14ac:dyDescent="0.3">
      <c r="A7" t="s">
        <v>158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5</v>
      </c>
    </row>
    <row r="12" spans="1:1" x14ac:dyDescent="0.3">
      <c r="A12" t="s">
        <v>159</v>
      </c>
    </row>
    <row r="13" spans="1:1" x14ac:dyDescent="0.3">
      <c r="A13" t="s">
        <v>478</v>
      </c>
    </row>
    <row r="14" spans="1:1" x14ac:dyDescent="0.3">
      <c r="A14" t="s">
        <v>479</v>
      </c>
    </row>
    <row r="15" spans="1:1" x14ac:dyDescent="0.3">
      <c r="A15" t="s">
        <v>22</v>
      </c>
    </row>
    <row r="16" spans="1:1" x14ac:dyDescent="0.3">
      <c r="A16" t="s">
        <v>480</v>
      </c>
    </row>
    <row r="17" spans="1:1" x14ac:dyDescent="0.3">
      <c r="A17" t="s">
        <v>481</v>
      </c>
    </row>
    <row r="18" spans="1:1" x14ac:dyDescent="0.3">
      <c r="A18" t="s">
        <v>160</v>
      </c>
    </row>
    <row r="19" spans="1:1" x14ac:dyDescent="0.3">
      <c r="A19" t="s">
        <v>23</v>
      </c>
    </row>
    <row r="20" spans="1:1" x14ac:dyDescent="0.3">
      <c r="A20" t="s">
        <v>161</v>
      </c>
    </row>
    <row r="21" spans="1:1" x14ac:dyDescent="0.3">
      <c r="A21" t="s">
        <v>162</v>
      </c>
    </row>
    <row r="22" spans="1:1" x14ac:dyDescent="0.3">
      <c r="A22" t="s">
        <v>163</v>
      </c>
    </row>
    <row r="23" spans="1:1" x14ac:dyDescent="0.3">
      <c r="A23" t="s">
        <v>164</v>
      </c>
    </row>
    <row r="24" spans="1:1" x14ac:dyDescent="0.3">
      <c r="A24" t="s">
        <v>165</v>
      </c>
    </row>
    <row r="25" spans="1:1" x14ac:dyDescent="0.3">
      <c r="A25" t="s">
        <v>166</v>
      </c>
    </row>
    <row r="26" spans="1:1" x14ac:dyDescent="0.3">
      <c r="A26" t="s">
        <v>167</v>
      </c>
    </row>
    <row r="27" spans="1:1" x14ac:dyDescent="0.3">
      <c r="A27" t="s">
        <v>24</v>
      </c>
    </row>
    <row r="28" spans="1:1" x14ac:dyDescent="0.3">
      <c r="A28" t="s">
        <v>168</v>
      </c>
    </row>
    <row r="29" spans="1:1" x14ac:dyDescent="0.3">
      <c r="A29" t="s">
        <v>169</v>
      </c>
    </row>
    <row r="30" spans="1:1" x14ac:dyDescent="0.3">
      <c r="A30" t="s">
        <v>25</v>
      </c>
    </row>
    <row r="31" spans="1:1" x14ac:dyDescent="0.3">
      <c r="A31" t="s">
        <v>170</v>
      </c>
    </row>
    <row r="32" spans="1:1" x14ac:dyDescent="0.3">
      <c r="A32" t="s">
        <v>171</v>
      </c>
    </row>
    <row r="33" spans="1:1" x14ac:dyDescent="0.3">
      <c r="A33" t="s">
        <v>172</v>
      </c>
    </row>
    <row r="34" spans="1:1" x14ac:dyDescent="0.3">
      <c r="A34" t="s">
        <v>173</v>
      </c>
    </row>
    <row r="35" spans="1:1" x14ac:dyDescent="0.3">
      <c r="A35" t="s">
        <v>174</v>
      </c>
    </row>
    <row r="36" spans="1:1" x14ac:dyDescent="0.3">
      <c r="A36" t="s">
        <v>175</v>
      </c>
    </row>
    <row r="37" spans="1:1" x14ac:dyDescent="0.3">
      <c r="A37" t="s">
        <v>176</v>
      </c>
    </row>
    <row r="38" spans="1:1" x14ac:dyDescent="0.3">
      <c r="A38" t="s">
        <v>56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  <row r="42" spans="1:1" x14ac:dyDescent="0.3">
      <c r="A42" t="s">
        <v>180</v>
      </c>
    </row>
    <row r="43" spans="1:1" x14ac:dyDescent="0.3">
      <c r="A43" t="s">
        <v>181</v>
      </c>
    </row>
    <row r="44" spans="1:1" x14ac:dyDescent="0.3">
      <c r="A44" t="s">
        <v>182</v>
      </c>
    </row>
    <row r="45" spans="1:1" x14ac:dyDescent="0.3">
      <c r="A45" t="s">
        <v>59</v>
      </c>
    </row>
    <row r="46" spans="1:1" x14ac:dyDescent="0.3">
      <c r="A46" t="s">
        <v>183</v>
      </c>
    </row>
    <row r="47" spans="1:1" x14ac:dyDescent="0.3">
      <c r="A47" t="s">
        <v>184</v>
      </c>
    </row>
    <row r="48" spans="1:1" x14ac:dyDescent="0.3">
      <c r="A48" t="s">
        <v>26</v>
      </c>
    </row>
    <row r="49" spans="1:1" x14ac:dyDescent="0.3">
      <c r="A49" t="s">
        <v>185</v>
      </c>
    </row>
    <row r="50" spans="1:1" x14ac:dyDescent="0.3">
      <c r="A50" t="s">
        <v>186</v>
      </c>
    </row>
    <row r="51" spans="1:1" x14ac:dyDescent="0.3">
      <c r="A51" t="s">
        <v>27</v>
      </c>
    </row>
    <row r="52" spans="1:1" x14ac:dyDescent="0.3">
      <c r="A52" t="s">
        <v>482</v>
      </c>
    </row>
    <row r="53" spans="1:1" x14ac:dyDescent="0.3">
      <c r="A53" t="s">
        <v>483</v>
      </c>
    </row>
    <row r="54" spans="1:1" x14ac:dyDescent="0.3">
      <c r="A54" t="s">
        <v>187</v>
      </c>
    </row>
    <row r="55" spans="1:1" x14ac:dyDescent="0.3">
      <c r="A55" t="s">
        <v>28</v>
      </c>
    </row>
    <row r="56" spans="1:1" x14ac:dyDescent="0.3">
      <c r="A56" t="s">
        <v>188</v>
      </c>
    </row>
    <row r="57" spans="1:1" x14ac:dyDescent="0.3">
      <c r="A57" t="s">
        <v>189</v>
      </c>
    </row>
    <row r="58" spans="1:1" x14ac:dyDescent="0.3">
      <c r="A58" t="e" cm="1">
        <f t="array" ref="A58">- Part du groupe</f>
        <v>#NAME?</v>
      </c>
    </row>
    <row r="59" spans="1:1" x14ac:dyDescent="0.3">
      <c r="A59" t="s">
        <v>190</v>
      </c>
    </row>
    <row r="60" spans="1:1" x14ac:dyDescent="0.3">
      <c r="A60" t="s">
        <v>191</v>
      </c>
    </row>
    <row r="61" spans="1:1" x14ac:dyDescent="0.3">
      <c r="A61" t="e" cm="1">
        <f t="array" ref="A61">- Part des minoritaires</f>
        <v>#NAME?</v>
      </c>
    </row>
    <row r="62" spans="1:1" x14ac:dyDescent="0.3">
      <c r="A62" t="s">
        <v>192</v>
      </c>
    </row>
    <row r="63" spans="1:1" x14ac:dyDescent="0.3">
      <c r="A63" t="s">
        <v>193</v>
      </c>
    </row>
    <row r="64" spans="1:1" x14ac:dyDescent="0.3">
      <c r="A64" t="s">
        <v>194</v>
      </c>
    </row>
    <row r="65" spans="1:1" x14ac:dyDescent="0.3">
      <c r="A65" t="s">
        <v>195</v>
      </c>
    </row>
    <row r="66" spans="1:1" x14ac:dyDescent="0.3">
      <c r="A66" t="s">
        <v>196</v>
      </c>
    </row>
    <row r="67" spans="1:1" x14ac:dyDescent="0.3">
      <c r="A67" t="s">
        <v>197</v>
      </c>
    </row>
    <row r="68" spans="1:1" x14ac:dyDescent="0.3">
      <c r="A68" t="e" cm="1">
        <f t="array" ref="A68">- Part du groupe</f>
        <v>#NAME?</v>
      </c>
    </row>
    <row r="69" spans="1:1" x14ac:dyDescent="0.3">
      <c r="A69" t="s">
        <v>198</v>
      </c>
    </row>
    <row r="70" spans="1:1" x14ac:dyDescent="0.3">
      <c r="A70" t="s">
        <v>199</v>
      </c>
    </row>
    <row r="71" spans="1:1" x14ac:dyDescent="0.3">
      <c r="A71" t="e" cm="1">
        <f t="array" ref="A71">- Part des minoritaires</f>
        <v>#NAME?</v>
      </c>
    </row>
    <row r="72" spans="1:1" x14ac:dyDescent="0.3">
      <c r="A72" t="s">
        <v>200</v>
      </c>
    </row>
    <row r="73" spans="1:1" x14ac:dyDescent="0.3">
      <c r="A73" t="s">
        <v>201</v>
      </c>
    </row>
    <row r="74" spans="1:1" x14ac:dyDescent="0.3">
      <c r="A74" t="s">
        <v>29</v>
      </c>
    </row>
    <row r="75" spans="1:1" x14ac:dyDescent="0.3">
      <c r="A75" t="s">
        <v>202</v>
      </c>
    </row>
    <row r="76" spans="1:1" x14ac:dyDescent="0.3">
      <c r="A76" t="s">
        <v>203</v>
      </c>
    </row>
    <row r="77" spans="1:1" x14ac:dyDescent="0.3">
      <c r="A77" t="e" cm="1">
        <f t="array" ref="A77">- Part du groupe</f>
        <v>#NAME?</v>
      </c>
    </row>
    <row r="78" spans="1:1" x14ac:dyDescent="0.3">
      <c r="A78" t="s">
        <v>204</v>
      </c>
    </row>
    <row r="79" spans="1:1" x14ac:dyDescent="0.3">
      <c r="A79" t="s">
        <v>205</v>
      </c>
    </row>
    <row r="80" spans="1:1" x14ac:dyDescent="0.3">
      <c r="A80" t="e" cm="1">
        <f t="array" ref="A80">- Part des minoritaires</f>
        <v>#NAME?</v>
      </c>
    </row>
    <row r="81" spans="1:1" x14ac:dyDescent="0.3">
      <c r="A81" t="s">
        <v>206</v>
      </c>
    </row>
    <row r="82" spans="1:1" x14ac:dyDescent="0.3">
      <c r="A82" t="s">
        <v>207</v>
      </c>
    </row>
    <row r="83" spans="1:1" x14ac:dyDescent="0.3">
      <c r="A83" t="s">
        <v>208</v>
      </c>
    </row>
    <row r="84" spans="1:1" x14ac:dyDescent="0.3">
      <c r="A84" t="s">
        <v>484</v>
      </c>
    </row>
    <row r="85" spans="1:1" x14ac:dyDescent="0.3">
      <c r="A85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63A8-515E-4EF3-A64F-F871EB5D8A67}">
  <dimension ref="A1:A101"/>
  <sheetViews>
    <sheetView topLeftCell="A75" workbookViewId="0">
      <selection activeCell="A9" sqref="A9"/>
    </sheetView>
  </sheetViews>
  <sheetFormatPr defaultRowHeight="14.4" x14ac:dyDescent="0.3"/>
  <cols>
    <col min="1" max="1" width="53.77734375" bestFit="1" customWidth="1"/>
  </cols>
  <sheetData>
    <row r="1" spans="1:1" x14ac:dyDescent="0.3">
      <c r="A1" t="s">
        <v>30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209</v>
      </c>
    </row>
    <row r="5" spans="1:1" x14ac:dyDescent="0.3">
      <c r="A5" t="s">
        <v>210</v>
      </c>
    </row>
    <row r="6" spans="1:1" x14ac:dyDescent="0.3">
      <c r="A6" t="s">
        <v>211</v>
      </c>
    </row>
    <row r="7" spans="1:1" x14ac:dyDescent="0.3">
      <c r="A7" t="s">
        <v>212</v>
      </c>
    </row>
    <row r="8" spans="1:1" x14ac:dyDescent="0.3">
      <c r="A8" t="s">
        <v>213</v>
      </c>
    </row>
    <row r="9" spans="1:1" x14ac:dyDescent="0.3">
      <c r="A9" t="s">
        <v>214</v>
      </c>
    </row>
    <row r="10" spans="1:1" x14ac:dyDescent="0.3">
      <c r="A10" t="s">
        <v>215</v>
      </c>
    </row>
    <row r="11" spans="1:1" x14ac:dyDescent="0.3">
      <c r="A11" t="s">
        <v>216</v>
      </c>
    </row>
    <row r="12" spans="1:1" x14ac:dyDescent="0.3">
      <c r="A12" t="s">
        <v>217</v>
      </c>
    </row>
    <row r="13" spans="1:1" x14ac:dyDescent="0.3">
      <c r="A13" t="s">
        <v>218</v>
      </c>
    </row>
    <row r="14" spans="1:1" x14ac:dyDescent="0.3">
      <c r="A14" t="s">
        <v>219</v>
      </c>
    </row>
    <row r="15" spans="1:1" x14ac:dyDescent="0.3">
      <c r="A15" t="s">
        <v>220</v>
      </c>
    </row>
    <row r="16" spans="1:1" x14ac:dyDescent="0.3">
      <c r="A16" t="s">
        <v>221</v>
      </c>
    </row>
    <row r="17" spans="1:1" x14ac:dyDescent="0.3">
      <c r="A17" t="s">
        <v>222</v>
      </c>
    </row>
    <row r="18" spans="1:1" x14ac:dyDescent="0.3">
      <c r="A18" t="s">
        <v>223</v>
      </c>
    </row>
    <row r="19" spans="1:1" x14ac:dyDescent="0.3">
      <c r="A19" t="s">
        <v>224</v>
      </c>
    </row>
    <row r="20" spans="1:1" x14ac:dyDescent="0.3">
      <c r="A20" t="s">
        <v>225</v>
      </c>
    </row>
    <row r="21" spans="1:1" x14ac:dyDescent="0.3">
      <c r="A21" t="s">
        <v>226</v>
      </c>
    </row>
    <row r="22" spans="1:1" x14ac:dyDescent="0.3">
      <c r="A22" t="s">
        <v>227</v>
      </c>
    </row>
    <row r="23" spans="1:1" x14ac:dyDescent="0.3">
      <c r="A23" t="s">
        <v>228</v>
      </c>
    </row>
    <row r="24" spans="1:1" x14ac:dyDescent="0.3">
      <c r="A24" t="s">
        <v>229</v>
      </c>
    </row>
    <row r="25" spans="1:1" x14ac:dyDescent="0.3">
      <c r="A25" t="s">
        <v>230</v>
      </c>
    </row>
    <row r="26" spans="1:1" x14ac:dyDescent="0.3">
      <c r="A26" t="s">
        <v>31</v>
      </c>
    </row>
    <row r="27" spans="1:1" x14ac:dyDescent="0.3">
      <c r="A27" t="s">
        <v>231</v>
      </c>
    </row>
    <row r="28" spans="1:1" x14ac:dyDescent="0.3">
      <c r="A28" t="s">
        <v>232</v>
      </c>
    </row>
    <row r="29" spans="1:1" x14ac:dyDescent="0.3">
      <c r="A29" t="s">
        <v>233</v>
      </c>
    </row>
    <row r="30" spans="1:1" x14ac:dyDescent="0.3">
      <c r="A30" t="s">
        <v>234</v>
      </c>
    </row>
    <row r="31" spans="1:1" x14ac:dyDescent="0.3">
      <c r="A31" t="s">
        <v>235</v>
      </c>
    </row>
    <row r="32" spans="1:1" x14ac:dyDescent="0.3">
      <c r="A32" t="s">
        <v>236</v>
      </c>
    </row>
    <row r="33" spans="1:1" x14ac:dyDescent="0.3">
      <c r="A33" t="s">
        <v>237</v>
      </c>
    </row>
    <row r="34" spans="1:1" x14ac:dyDescent="0.3">
      <c r="A34" t="s">
        <v>238</v>
      </c>
    </row>
    <row r="35" spans="1:1" x14ac:dyDescent="0.3">
      <c r="A35" t="s">
        <v>239</v>
      </c>
    </row>
    <row r="36" spans="1:1" x14ac:dyDescent="0.3">
      <c r="A36" t="s">
        <v>240</v>
      </c>
    </row>
    <row r="37" spans="1:1" x14ac:dyDescent="0.3">
      <c r="A37">
        <v>235</v>
      </c>
    </row>
    <row r="38" spans="1:1" x14ac:dyDescent="0.3">
      <c r="A38" t="s">
        <v>241</v>
      </c>
    </row>
    <row r="39" spans="1:1" x14ac:dyDescent="0.3">
      <c r="A39" t="s">
        <v>242</v>
      </c>
    </row>
    <row r="40" spans="1:1" x14ac:dyDescent="0.3">
      <c r="A40" t="s">
        <v>243</v>
      </c>
    </row>
    <row r="41" spans="1:1" x14ac:dyDescent="0.3">
      <c r="A41" t="s">
        <v>244</v>
      </c>
    </row>
    <row r="42" spans="1:1" x14ac:dyDescent="0.3">
      <c r="A42" t="s">
        <v>245</v>
      </c>
    </row>
    <row r="43" spans="1:1" x14ac:dyDescent="0.3">
      <c r="A43" t="s">
        <v>246</v>
      </c>
    </row>
    <row r="44" spans="1:1" x14ac:dyDescent="0.3">
      <c r="A44" t="s">
        <v>247</v>
      </c>
    </row>
    <row r="45" spans="1:1" x14ac:dyDescent="0.3">
      <c r="A45" t="s">
        <v>248</v>
      </c>
    </row>
    <row r="46" spans="1:1" x14ac:dyDescent="0.3">
      <c r="A46" t="s">
        <v>249</v>
      </c>
    </row>
    <row r="47" spans="1:1" x14ac:dyDescent="0.3">
      <c r="A47" t="s">
        <v>32</v>
      </c>
    </row>
    <row r="48" spans="1:1" x14ac:dyDescent="0.3">
      <c r="A48" t="s">
        <v>250</v>
      </c>
    </row>
    <row r="49" spans="1:1" x14ac:dyDescent="0.3">
      <c r="A49" t="s">
        <v>251</v>
      </c>
    </row>
    <row r="50" spans="1:1" x14ac:dyDescent="0.3">
      <c r="A50" t="s">
        <v>33</v>
      </c>
    </row>
    <row r="51" spans="1:1" x14ac:dyDescent="0.3">
      <c r="A51" t="s">
        <v>252</v>
      </c>
    </row>
    <row r="52" spans="1:1" x14ac:dyDescent="0.3">
      <c r="A52" t="s">
        <v>253</v>
      </c>
    </row>
    <row r="53" spans="1:1" x14ac:dyDescent="0.3">
      <c r="A53" t="s">
        <v>254</v>
      </c>
    </row>
    <row r="54" spans="1:1" x14ac:dyDescent="0.3">
      <c r="A54" t="s">
        <v>255</v>
      </c>
    </row>
    <row r="55" spans="1:1" x14ac:dyDescent="0.3">
      <c r="A55" t="s">
        <v>256</v>
      </c>
    </row>
    <row r="56" spans="1:1" x14ac:dyDescent="0.3">
      <c r="A56" t="s">
        <v>34</v>
      </c>
    </row>
    <row r="57" spans="1:1" x14ac:dyDescent="0.3">
      <c r="A57" t="s">
        <v>257</v>
      </c>
    </row>
    <row r="58" spans="1:1" x14ac:dyDescent="0.3">
      <c r="A58" t="s">
        <v>258</v>
      </c>
    </row>
    <row r="59" spans="1:1" x14ac:dyDescent="0.3">
      <c r="A59" t="s">
        <v>35</v>
      </c>
    </row>
    <row r="60" spans="1:1" x14ac:dyDescent="0.3">
      <c r="A60" t="s">
        <v>259</v>
      </c>
    </row>
    <row r="61" spans="1:1" x14ac:dyDescent="0.3">
      <c r="A61" t="s">
        <v>260</v>
      </c>
    </row>
    <row r="62" spans="1:1" x14ac:dyDescent="0.3">
      <c r="A62" t="s">
        <v>261</v>
      </c>
    </row>
    <row r="63" spans="1:1" x14ac:dyDescent="0.3">
      <c r="A63" t="s">
        <v>262</v>
      </c>
    </row>
    <row r="64" spans="1:1" x14ac:dyDescent="0.3">
      <c r="A64" t="s">
        <v>263</v>
      </c>
    </row>
    <row r="65" spans="1:1" x14ac:dyDescent="0.3">
      <c r="A65" t="s">
        <v>264</v>
      </c>
    </row>
    <row r="66" spans="1:1" x14ac:dyDescent="0.3">
      <c r="A66" t="s">
        <v>265</v>
      </c>
    </row>
    <row r="67" spans="1:1" x14ac:dyDescent="0.3">
      <c r="A67" t="s">
        <v>266</v>
      </c>
    </row>
    <row r="68" spans="1:1" x14ac:dyDescent="0.3">
      <c r="A68" t="s">
        <v>36</v>
      </c>
    </row>
    <row r="69" spans="1:1" x14ac:dyDescent="0.3">
      <c r="A69" t="s">
        <v>267</v>
      </c>
    </row>
    <row r="70" spans="1:1" x14ac:dyDescent="0.3">
      <c r="A70" t="s">
        <v>268</v>
      </c>
    </row>
    <row r="71" spans="1:1" x14ac:dyDescent="0.3">
      <c r="A71" t="s">
        <v>269</v>
      </c>
    </row>
    <row r="72" spans="1:1" x14ac:dyDescent="0.3">
      <c r="A72" t="s">
        <v>270</v>
      </c>
    </row>
    <row r="73" spans="1:1" x14ac:dyDescent="0.3">
      <c r="A73" t="s">
        <v>271</v>
      </c>
    </row>
    <row r="74" spans="1:1" x14ac:dyDescent="0.3">
      <c r="A74" t="s">
        <v>272</v>
      </c>
    </row>
    <row r="75" spans="1:1" x14ac:dyDescent="0.3">
      <c r="A75" t="s">
        <v>273</v>
      </c>
    </row>
    <row r="76" spans="1:1" x14ac:dyDescent="0.3">
      <c r="A76" t="s">
        <v>274</v>
      </c>
    </row>
    <row r="77" spans="1:1" x14ac:dyDescent="0.3">
      <c r="A77" t="s">
        <v>37</v>
      </c>
    </row>
    <row r="78" spans="1:1" x14ac:dyDescent="0.3">
      <c r="A78" t="s">
        <v>275</v>
      </c>
    </row>
    <row r="79" spans="1:1" x14ac:dyDescent="0.3">
      <c r="A79" t="s">
        <v>276</v>
      </c>
    </row>
    <row r="80" spans="1:1" x14ac:dyDescent="0.3">
      <c r="A80" t="s">
        <v>277</v>
      </c>
    </row>
    <row r="81" spans="1:1" x14ac:dyDescent="0.3">
      <c r="A81" t="s">
        <v>278</v>
      </c>
    </row>
    <row r="82" spans="1:1" x14ac:dyDescent="0.3">
      <c r="A82" t="s">
        <v>279</v>
      </c>
    </row>
    <row r="83" spans="1:1" x14ac:dyDescent="0.3">
      <c r="A83" t="s">
        <v>280</v>
      </c>
    </row>
    <row r="84" spans="1:1" x14ac:dyDescent="0.3">
      <c r="A84" t="s">
        <v>281</v>
      </c>
    </row>
    <row r="85" spans="1:1" x14ac:dyDescent="0.3">
      <c r="A85" t="s">
        <v>282</v>
      </c>
    </row>
    <row r="86" spans="1:1" x14ac:dyDescent="0.3">
      <c r="A86" t="s">
        <v>283</v>
      </c>
    </row>
    <row r="87" spans="1:1" x14ac:dyDescent="0.3">
      <c r="A87" t="s">
        <v>284</v>
      </c>
    </row>
    <row r="88" spans="1:1" x14ac:dyDescent="0.3">
      <c r="A88" t="s">
        <v>202</v>
      </c>
    </row>
    <row r="89" spans="1:1" x14ac:dyDescent="0.3">
      <c r="A89" t="s">
        <v>203</v>
      </c>
    </row>
    <row r="90" spans="1:1" x14ac:dyDescent="0.3">
      <c r="A90" t="s">
        <v>39</v>
      </c>
    </row>
    <row r="91" spans="1:1" x14ac:dyDescent="0.3">
      <c r="A91" t="s">
        <v>206</v>
      </c>
    </row>
    <row r="92" spans="1:1" x14ac:dyDescent="0.3">
      <c r="A92" t="s">
        <v>207</v>
      </c>
    </row>
    <row r="93" spans="1:1" x14ac:dyDescent="0.3">
      <c r="A93" t="s">
        <v>285</v>
      </c>
    </row>
    <row r="94" spans="1:1" x14ac:dyDescent="0.3">
      <c r="A94" t="s">
        <v>204</v>
      </c>
    </row>
    <row r="95" spans="1:1" x14ac:dyDescent="0.3">
      <c r="A95" t="s">
        <v>205</v>
      </c>
    </row>
    <row r="96" spans="1:1" x14ac:dyDescent="0.3">
      <c r="A96" t="s">
        <v>286</v>
      </c>
    </row>
    <row r="97" spans="1:1" x14ac:dyDescent="0.3">
      <c r="A97" t="s">
        <v>287</v>
      </c>
    </row>
    <row r="98" spans="1:1" x14ac:dyDescent="0.3">
      <c r="A98" t="s">
        <v>288</v>
      </c>
    </row>
    <row r="99" spans="1:1" x14ac:dyDescent="0.3">
      <c r="A99" t="s">
        <v>289</v>
      </c>
    </row>
    <row r="100" spans="1:1" x14ac:dyDescent="0.3">
      <c r="A100" t="s">
        <v>287</v>
      </c>
    </row>
    <row r="101" spans="1:1" x14ac:dyDescent="0.3">
      <c r="A101" t="s">
        <v>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F11F-633A-4D60-A88E-3A01FBAA454C}">
  <dimension ref="A1:A96"/>
  <sheetViews>
    <sheetView topLeftCell="A76" workbookViewId="0">
      <selection activeCell="A100" sqref="A100"/>
    </sheetView>
  </sheetViews>
  <sheetFormatPr defaultRowHeight="14.4" x14ac:dyDescent="0.3"/>
  <cols>
    <col min="1" max="1" width="61.6640625" bestFit="1" customWidth="1"/>
  </cols>
  <sheetData>
    <row r="1" spans="1:1" x14ac:dyDescent="0.3">
      <c r="A1" t="s">
        <v>40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290</v>
      </c>
    </row>
    <row r="5" spans="1:1" x14ac:dyDescent="0.3">
      <c r="A5" t="s">
        <v>291</v>
      </c>
    </row>
    <row r="6" spans="1:1" x14ac:dyDescent="0.3">
      <c r="A6" t="s">
        <v>292</v>
      </c>
    </row>
    <row r="7" spans="1:1" x14ac:dyDescent="0.3">
      <c r="A7" t="s">
        <v>41</v>
      </c>
    </row>
    <row r="8" spans="1:1" x14ac:dyDescent="0.3">
      <c r="A8" t="s">
        <v>293</v>
      </c>
    </row>
    <row r="9" spans="1:1" x14ac:dyDescent="0.3">
      <c r="A9" t="s">
        <v>294</v>
      </c>
    </row>
    <row r="10" spans="1:1" x14ac:dyDescent="0.3">
      <c r="A10" t="s">
        <v>295</v>
      </c>
    </row>
    <row r="11" spans="1:1" x14ac:dyDescent="0.3">
      <c r="A11" t="s">
        <v>296</v>
      </c>
    </row>
    <row r="12" spans="1:1" x14ac:dyDescent="0.3">
      <c r="A12" t="s">
        <v>297</v>
      </c>
    </row>
    <row r="13" spans="1:1" x14ac:dyDescent="0.3">
      <c r="A13" t="s">
        <v>298</v>
      </c>
    </row>
    <row r="14" spans="1:1" x14ac:dyDescent="0.3">
      <c r="A14" t="s">
        <v>299</v>
      </c>
    </row>
    <row r="15" spans="1:1" x14ac:dyDescent="0.3">
      <c r="A15" t="s">
        <v>300</v>
      </c>
    </row>
    <row r="16" spans="1:1" x14ac:dyDescent="0.3">
      <c r="A16" t="s">
        <v>42</v>
      </c>
    </row>
    <row r="17" spans="1:1" x14ac:dyDescent="0.3">
      <c r="A17" t="s">
        <v>485</v>
      </c>
    </row>
    <row r="18" spans="1:1" x14ac:dyDescent="0.3">
      <c r="A18" t="s">
        <v>486</v>
      </c>
    </row>
    <row r="19" spans="1:1" x14ac:dyDescent="0.3">
      <c r="A19" t="s">
        <v>301</v>
      </c>
    </row>
    <row r="20" spans="1:1" x14ac:dyDescent="0.3">
      <c r="A20" t="s">
        <v>302</v>
      </c>
    </row>
    <row r="21" spans="1:1" x14ac:dyDescent="0.3">
      <c r="A21" t="s">
        <v>303</v>
      </c>
    </row>
    <row r="22" spans="1:1" x14ac:dyDescent="0.3">
      <c r="A22" t="s">
        <v>304</v>
      </c>
    </row>
    <row r="23" spans="1:1" x14ac:dyDescent="0.3">
      <c r="A23" t="s">
        <v>305</v>
      </c>
    </row>
    <row r="24" spans="1:1" x14ac:dyDescent="0.3">
      <c r="A24" t="s">
        <v>306</v>
      </c>
    </row>
    <row r="25" spans="1:1" x14ac:dyDescent="0.3">
      <c r="A25" t="s">
        <v>307</v>
      </c>
    </row>
    <row r="26" spans="1:1" x14ac:dyDescent="0.3">
      <c r="A26" t="s">
        <v>308</v>
      </c>
    </row>
    <row r="27" spans="1:1" x14ac:dyDescent="0.3">
      <c r="A27" t="s">
        <v>309</v>
      </c>
    </row>
    <row r="28" spans="1:1" x14ac:dyDescent="0.3">
      <c r="A28" t="s">
        <v>310</v>
      </c>
    </row>
    <row r="29" spans="1:1" x14ac:dyDescent="0.3">
      <c r="A29" t="s">
        <v>311</v>
      </c>
    </row>
    <row r="30" spans="1:1" x14ac:dyDescent="0.3">
      <c r="A30" t="s">
        <v>312</v>
      </c>
    </row>
    <row r="31" spans="1:1" x14ac:dyDescent="0.3">
      <c r="A31" t="s">
        <v>43</v>
      </c>
    </row>
    <row r="32" spans="1:1" x14ac:dyDescent="0.3">
      <c r="A32" t="s">
        <v>313</v>
      </c>
    </row>
    <row r="33" spans="1:1" x14ac:dyDescent="0.3">
      <c r="A33" t="s">
        <v>314</v>
      </c>
    </row>
    <row r="34" spans="1:1" x14ac:dyDescent="0.3">
      <c r="A34" t="s">
        <v>44</v>
      </c>
    </row>
    <row r="35" spans="1:1" x14ac:dyDescent="0.3">
      <c r="A35" t="s">
        <v>315</v>
      </c>
    </row>
    <row r="36" spans="1:1" x14ac:dyDescent="0.3">
      <c r="A36" t="s">
        <v>316</v>
      </c>
    </row>
    <row r="37" spans="1:1" x14ac:dyDescent="0.3">
      <c r="A37" t="s">
        <v>317</v>
      </c>
    </row>
    <row r="38" spans="1:1" x14ac:dyDescent="0.3">
      <c r="A38" t="s">
        <v>318</v>
      </c>
    </row>
    <row r="39" spans="1:1" x14ac:dyDescent="0.3">
      <c r="A39" t="s">
        <v>319</v>
      </c>
    </row>
    <row r="40" spans="1:1" x14ac:dyDescent="0.3">
      <c r="A40" t="s">
        <v>320</v>
      </c>
    </row>
    <row r="41" spans="1:1" x14ac:dyDescent="0.3">
      <c r="A41" t="s">
        <v>321</v>
      </c>
    </row>
    <row r="42" spans="1:1" x14ac:dyDescent="0.3">
      <c r="A42" t="s">
        <v>322</v>
      </c>
    </row>
    <row r="43" spans="1:1" x14ac:dyDescent="0.3">
      <c r="A43" t="s">
        <v>323</v>
      </c>
    </row>
    <row r="44" spans="1:1" x14ac:dyDescent="0.3">
      <c r="A44" t="s">
        <v>324</v>
      </c>
    </row>
    <row r="45" spans="1:1" x14ac:dyDescent="0.3">
      <c r="A45" t="s">
        <v>325</v>
      </c>
    </row>
    <row r="46" spans="1:1" x14ac:dyDescent="0.3">
      <c r="A46" t="s">
        <v>326</v>
      </c>
    </row>
    <row r="47" spans="1:1" x14ac:dyDescent="0.3">
      <c r="A47" t="s">
        <v>6</v>
      </c>
    </row>
    <row r="48" spans="1:1" x14ac:dyDescent="0.3">
      <c r="A48" t="s">
        <v>6</v>
      </c>
    </row>
    <row r="49" spans="1:1" x14ac:dyDescent="0.3">
      <c r="A49" t="s">
        <v>45</v>
      </c>
    </row>
    <row r="50" spans="1:1" x14ac:dyDescent="0.3">
      <c r="A50" t="s">
        <v>327</v>
      </c>
    </row>
    <row r="51" spans="1:1" x14ac:dyDescent="0.3">
      <c r="A51" t="s">
        <v>328</v>
      </c>
    </row>
    <row r="52" spans="1:1" x14ac:dyDescent="0.3">
      <c r="A52" t="s">
        <v>46</v>
      </c>
    </row>
    <row r="53" spans="1:1" x14ac:dyDescent="0.3">
      <c r="A53" t="s">
        <v>329</v>
      </c>
    </row>
    <row r="54" spans="1:1" x14ac:dyDescent="0.3">
      <c r="A54" t="s">
        <v>330</v>
      </c>
    </row>
    <row r="55" spans="1:1" x14ac:dyDescent="0.3">
      <c r="A55" t="s">
        <v>317</v>
      </c>
    </row>
    <row r="56" spans="1:1" x14ac:dyDescent="0.3">
      <c r="A56" t="s">
        <v>331</v>
      </c>
    </row>
    <row r="57" spans="1:1" x14ac:dyDescent="0.3">
      <c r="A57" t="s">
        <v>332</v>
      </c>
    </row>
    <row r="58" spans="1:1" x14ac:dyDescent="0.3">
      <c r="A58" t="s">
        <v>320</v>
      </c>
    </row>
    <row r="59" spans="1:1" x14ac:dyDescent="0.3">
      <c r="A59" t="s">
        <v>333</v>
      </c>
    </row>
    <row r="60" spans="1:1" x14ac:dyDescent="0.3">
      <c r="A60" t="s">
        <v>334</v>
      </c>
    </row>
    <row r="61" spans="1:1" x14ac:dyDescent="0.3">
      <c r="A61" t="s">
        <v>326</v>
      </c>
    </row>
    <row r="62" spans="1:1" x14ac:dyDescent="0.3">
      <c r="A62" t="s">
        <v>6</v>
      </c>
    </row>
    <row r="63" spans="1:1" x14ac:dyDescent="0.3">
      <c r="A63" t="s">
        <v>6</v>
      </c>
    </row>
    <row r="64" spans="1:1" x14ac:dyDescent="0.3">
      <c r="A64" t="s">
        <v>47</v>
      </c>
    </row>
    <row r="65" spans="1:1" x14ac:dyDescent="0.3">
      <c r="A65" t="s">
        <v>335</v>
      </c>
    </row>
    <row r="66" spans="1:1" x14ac:dyDescent="0.3">
      <c r="A66" t="s">
        <v>336</v>
      </c>
    </row>
    <row r="67" spans="1:1" x14ac:dyDescent="0.3">
      <c r="A67" t="s">
        <v>337</v>
      </c>
    </row>
    <row r="68" spans="1:1" x14ac:dyDescent="0.3">
      <c r="A68" t="s">
        <v>338</v>
      </c>
    </row>
    <row r="69" spans="1:1" x14ac:dyDescent="0.3">
      <c r="A69" t="s">
        <v>339</v>
      </c>
    </row>
    <row r="70" spans="1:1" x14ac:dyDescent="0.3">
      <c r="A70" t="s">
        <v>340</v>
      </c>
    </row>
    <row r="71" spans="1:1" x14ac:dyDescent="0.3">
      <c r="A71" t="s">
        <v>341</v>
      </c>
    </row>
    <row r="72" spans="1:1" x14ac:dyDescent="0.3">
      <c r="A72" t="s">
        <v>342</v>
      </c>
    </row>
    <row r="73" spans="1:1" x14ac:dyDescent="0.3">
      <c r="A73" t="s">
        <v>343</v>
      </c>
    </row>
    <row r="74" spans="1:1" x14ac:dyDescent="0.3">
      <c r="A74" t="s">
        <v>6</v>
      </c>
    </row>
    <row r="75" spans="1:1" x14ac:dyDescent="0.3">
      <c r="A75" t="s">
        <v>6</v>
      </c>
    </row>
    <row r="76" spans="1:1" x14ac:dyDescent="0.3">
      <c r="A76" t="s">
        <v>48</v>
      </c>
    </row>
    <row r="77" spans="1:1" x14ac:dyDescent="0.3">
      <c r="A77" t="s">
        <v>344</v>
      </c>
    </row>
    <row r="78" spans="1:1" x14ac:dyDescent="0.3">
      <c r="A78" t="s">
        <v>345</v>
      </c>
    </row>
    <row r="79" spans="1:1" x14ac:dyDescent="0.3">
      <c r="A79" t="s">
        <v>346</v>
      </c>
    </row>
    <row r="80" spans="1:1" x14ac:dyDescent="0.3">
      <c r="A80" t="s">
        <v>347</v>
      </c>
    </row>
    <row r="81" spans="1:1" x14ac:dyDescent="0.3">
      <c r="A81" t="s">
        <v>348</v>
      </c>
    </row>
    <row r="82" spans="1:1" x14ac:dyDescent="0.3">
      <c r="A82" t="s">
        <v>49</v>
      </c>
    </row>
    <row r="83" spans="1:1" x14ac:dyDescent="0.3">
      <c r="A83" t="s">
        <v>349</v>
      </c>
    </row>
    <row r="84" spans="1:1" x14ac:dyDescent="0.3">
      <c r="A84" t="s">
        <v>350</v>
      </c>
    </row>
    <row r="85" spans="1:1" x14ac:dyDescent="0.3">
      <c r="A85" t="s">
        <v>50</v>
      </c>
    </row>
    <row r="86" spans="1:1" x14ac:dyDescent="0.3">
      <c r="A86">
        <v>386</v>
      </c>
    </row>
    <row r="87" spans="1:1" x14ac:dyDescent="0.3">
      <c r="A87">
        <v>428</v>
      </c>
    </row>
    <row r="88" spans="1:1" x14ac:dyDescent="0.3">
      <c r="A88" t="s">
        <v>18</v>
      </c>
    </row>
    <row r="89" spans="1:1" x14ac:dyDescent="0.3">
      <c r="A89" t="s">
        <v>351</v>
      </c>
    </row>
    <row r="90" spans="1:1" x14ac:dyDescent="0.3">
      <c r="A90" t="s">
        <v>352</v>
      </c>
    </row>
    <row r="91" spans="1:1" x14ac:dyDescent="0.3">
      <c r="A91" t="s">
        <v>17</v>
      </c>
    </row>
    <row r="92" spans="1:1" x14ac:dyDescent="0.3">
      <c r="A92" t="s">
        <v>353</v>
      </c>
    </row>
    <row r="93" spans="1:1" x14ac:dyDescent="0.3">
      <c r="A93" t="s">
        <v>354</v>
      </c>
    </row>
    <row r="94" spans="1:1" x14ac:dyDescent="0.3">
      <c r="A94" t="s">
        <v>355</v>
      </c>
    </row>
    <row r="95" spans="1:1" x14ac:dyDescent="0.3">
      <c r="A95" t="s">
        <v>487</v>
      </c>
    </row>
    <row r="96" spans="1:1" x14ac:dyDescent="0.3">
      <c r="A96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DACD-DA35-4FF9-83A1-AC36545148A0}">
  <dimension ref="A1:A87"/>
  <sheetViews>
    <sheetView topLeftCell="A70" workbookViewId="0">
      <selection activeCell="A8" sqref="A8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51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52</v>
      </c>
    </row>
    <row r="5" spans="1:1" x14ac:dyDescent="0.3">
      <c r="A5">
        <v>19</v>
      </c>
    </row>
    <row r="6" spans="1:1" x14ac:dyDescent="0.3">
      <c r="A6">
        <v>11</v>
      </c>
    </row>
    <row r="7" spans="1:1" x14ac:dyDescent="0.3">
      <c r="A7" t="s">
        <v>53</v>
      </c>
    </row>
    <row r="8" spans="1:1" x14ac:dyDescent="0.3">
      <c r="A8" t="s">
        <v>356</v>
      </c>
    </row>
    <row r="9" spans="1:1" x14ac:dyDescent="0.3">
      <c r="A9" t="s">
        <v>357</v>
      </c>
    </row>
    <row r="10" spans="1:1" x14ac:dyDescent="0.3">
      <c r="A10" t="s">
        <v>295</v>
      </c>
    </row>
    <row r="11" spans="1:1" x14ac:dyDescent="0.3">
      <c r="A11" t="s">
        <v>358</v>
      </c>
    </row>
    <row r="12" spans="1:1" x14ac:dyDescent="0.3">
      <c r="A12" t="s">
        <v>359</v>
      </c>
    </row>
    <row r="13" spans="1:1" x14ac:dyDescent="0.3">
      <c r="A13" t="s">
        <v>298</v>
      </c>
    </row>
    <row r="14" spans="1:1" x14ac:dyDescent="0.3">
      <c r="A14" t="s">
        <v>360</v>
      </c>
    </row>
    <row r="15" spans="1:1" x14ac:dyDescent="0.3">
      <c r="A15" t="s">
        <v>361</v>
      </c>
    </row>
    <row r="16" spans="1:1" x14ac:dyDescent="0.3">
      <c r="A16" t="s">
        <v>54</v>
      </c>
    </row>
    <row r="17" spans="1:1" x14ac:dyDescent="0.3">
      <c r="A17" t="s">
        <v>362</v>
      </c>
    </row>
    <row r="18" spans="1:1" x14ac:dyDescent="0.3">
      <c r="A18" t="s">
        <v>363</v>
      </c>
    </row>
    <row r="19" spans="1:1" x14ac:dyDescent="0.3">
      <c r="A19" t="s">
        <v>364</v>
      </c>
    </row>
    <row r="20" spans="1:1" x14ac:dyDescent="0.3">
      <c r="A20" t="s">
        <v>365</v>
      </c>
    </row>
    <row r="21" spans="1:1" x14ac:dyDescent="0.3">
      <c r="A21" t="s">
        <v>366</v>
      </c>
    </row>
    <row r="22" spans="1:1" x14ac:dyDescent="0.3">
      <c r="A22" t="s">
        <v>367</v>
      </c>
    </row>
    <row r="23" spans="1:1" x14ac:dyDescent="0.3">
      <c r="A23" t="s">
        <v>368</v>
      </c>
    </row>
    <row r="24" spans="1:1" x14ac:dyDescent="0.3">
      <c r="A24" t="s">
        <v>369</v>
      </c>
    </row>
    <row r="25" spans="1:1" x14ac:dyDescent="0.3">
      <c r="A25" t="s">
        <v>370</v>
      </c>
    </row>
    <row r="26" spans="1:1" x14ac:dyDescent="0.3">
      <c r="A26" t="s">
        <v>371</v>
      </c>
    </row>
    <row r="27" spans="1:1" x14ac:dyDescent="0.3">
      <c r="A27" t="s">
        <v>372</v>
      </c>
    </row>
    <row r="28" spans="1:1" x14ac:dyDescent="0.3">
      <c r="A28" t="s">
        <v>373</v>
      </c>
    </row>
    <row r="29" spans="1:1" x14ac:dyDescent="0.3">
      <c r="A29" t="s">
        <v>374</v>
      </c>
    </row>
    <row r="30" spans="1:1" x14ac:dyDescent="0.3">
      <c r="A30" t="s">
        <v>375</v>
      </c>
    </row>
    <row r="31" spans="1:1" x14ac:dyDescent="0.3">
      <c r="A31" t="s">
        <v>376</v>
      </c>
    </row>
    <row r="32" spans="1:1" x14ac:dyDescent="0.3">
      <c r="A32" t="s">
        <v>6</v>
      </c>
    </row>
    <row r="33" spans="1:1" x14ac:dyDescent="0.3">
      <c r="A33" t="s">
        <v>6</v>
      </c>
    </row>
    <row r="34" spans="1:1" x14ac:dyDescent="0.3">
      <c r="A34" t="s">
        <v>23</v>
      </c>
    </row>
    <row r="35" spans="1:1" x14ac:dyDescent="0.3">
      <c r="A35" t="s">
        <v>6</v>
      </c>
    </row>
    <row r="36" spans="1:1" x14ac:dyDescent="0.3">
      <c r="A36" t="s">
        <v>6</v>
      </c>
    </row>
    <row r="37" spans="1:1" x14ac:dyDescent="0.3">
      <c r="A37" t="s">
        <v>377</v>
      </c>
    </row>
    <row r="38" spans="1:1" x14ac:dyDescent="0.3">
      <c r="A38" t="s">
        <v>6</v>
      </c>
    </row>
    <row r="39" spans="1:1" x14ac:dyDescent="0.3">
      <c r="A39" t="s">
        <v>6</v>
      </c>
    </row>
    <row r="40" spans="1:1" x14ac:dyDescent="0.3">
      <c r="A40" t="s">
        <v>378</v>
      </c>
    </row>
    <row r="41" spans="1:1" x14ac:dyDescent="0.3">
      <c r="A41" t="s">
        <v>6</v>
      </c>
    </row>
    <row r="42" spans="1:1" x14ac:dyDescent="0.3">
      <c r="A42" t="s">
        <v>6</v>
      </c>
    </row>
    <row r="43" spans="1:1" x14ac:dyDescent="0.3">
      <c r="A43" t="s">
        <v>379</v>
      </c>
    </row>
    <row r="44" spans="1:1" x14ac:dyDescent="0.3">
      <c r="A44" t="s">
        <v>6</v>
      </c>
    </row>
    <row r="45" spans="1:1" x14ac:dyDescent="0.3">
      <c r="A45" t="s">
        <v>6</v>
      </c>
    </row>
    <row r="46" spans="1:1" x14ac:dyDescent="0.3">
      <c r="A46" t="s">
        <v>55</v>
      </c>
    </row>
    <row r="47" spans="1:1" x14ac:dyDescent="0.3">
      <c r="A47" t="s">
        <v>380</v>
      </c>
    </row>
    <row r="48" spans="1:1" x14ac:dyDescent="0.3">
      <c r="A48" t="s">
        <v>381</v>
      </c>
    </row>
    <row r="49" spans="1:1" x14ac:dyDescent="0.3">
      <c r="A49" t="s">
        <v>56</v>
      </c>
    </row>
    <row r="50" spans="1:1" x14ac:dyDescent="0.3">
      <c r="A50" t="s">
        <v>382</v>
      </c>
    </row>
    <row r="51" spans="1:1" x14ac:dyDescent="0.3">
      <c r="A51" t="s">
        <v>383</v>
      </c>
    </row>
    <row r="52" spans="1:1" x14ac:dyDescent="0.3">
      <c r="A52" t="s">
        <v>57</v>
      </c>
    </row>
    <row r="53" spans="1:1" x14ac:dyDescent="0.3">
      <c r="A53" t="s">
        <v>6</v>
      </c>
    </row>
    <row r="54" spans="1:1" x14ac:dyDescent="0.3">
      <c r="A54" t="s">
        <v>6</v>
      </c>
    </row>
    <row r="55" spans="1:1" x14ac:dyDescent="0.3">
      <c r="A55" t="s">
        <v>58</v>
      </c>
    </row>
    <row r="56" spans="1:1" x14ac:dyDescent="0.3">
      <c r="A56" t="s">
        <v>384</v>
      </c>
    </row>
    <row r="57" spans="1:1" x14ac:dyDescent="0.3">
      <c r="A57" t="s">
        <v>385</v>
      </c>
    </row>
    <row r="58" spans="1:1" x14ac:dyDescent="0.3">
      <c r="A58" t="s">
        <v>59</v>
      </c>
    </row>
    <row r="59" spans="1:1" x14ac:dyDescent="0.3">
      <c r="A59" t="s">
        <v>386</v>
      </c>
    </row>
    <row r="60" spans="1:1" x14ac:dyDescent="0.3">
      <c r="A60" t="s">
        <v>387</v>
      </c>
    </row>
    <row r="61" spans="1:1" x14ac:dyDescent="0.3">
      <c r="A61" t="s">
        <v>388</v>
      </c>
    </row>
    <row r="62" spans="1:1" x14ac:dyDescent="0.3">
      <c r="A62" t="s">
        <v>6</v>
      </c>
    </row>
    <row r="63" spans="1:1" x14ac:dyDescent="0.3">
      <c r="A63" t="s">
        <v>6</v>
      </c>
    </row>
    <row r="64" spans="1:1" x14ac:dyDescent="0.3">
      <c r="A64" t="s">
        <v>389</v>
      </c>
    </row>
    <row r="65" spans="1:1" x14ac:dyDescent="0.3">
      <c r="A65" t="s">
        <v>6</v>
      </c>
    </row>
    <row r="66" spans="1:1" x14ac:dyDescent="0.3">
      <c r="A66" t="s">
        <v>6</v>
      </c>
    </row>
    <row r="67" spans="1:1" x14ac:dyDescent="0.3">
      <c r="A67" t="s">
        <v>60</v>
      </c>
    </row>
    <row r="68" spans="1:1" x14ac:dyDescent="0.3">
      <c r="A68" t="s">
        <v>390</v>
      </c>
    </row>
    <row r="69" spans="1:1" x14ac:dyDescent="0.3">
      <c r="A69" t="s">
        <v>391</v>
      </c>
    </row>
    <row r="70" spans="1:1" x14ac:dyDescent="0.3">
      <c r="A70" t="s">
        <v>61</v>
      </c>
    </row>
    <row r="71" spans="1:1" x14ac:dyDescent="0.3">
      <c r="A71" t="s">
        <v>392</v>
      </c>
    </row>
    <row r="72" spans="1:1" x14ac:dyDescent="0.3">
      <c r="A72" t="s">
        <v>392</v>
      </c>
    </row>
    <row r="73" spans="1:1" x14ac:dyDescent="0.3">
      <c r="A73" t="s">
        <v>62</v>
      </c>
    </row>
    <row r="74" spans="1:1" x14ac:dyDescent="0.3">
      <c r="A74" t="s">
        <v>6</v>
      </c>
    </row>
    <row r="75" spans="1:1" x14ac:dyDescent="0.3">
      <c r="A75" t="s">
        <v>6</v>
      </c>
    </row>
    <row r="76" spans="1:1" x14ac:dyDescent="0.3">
      <c r="A76" t="s">
        <v>63</v>
      </c>
    </row>
    <row r="77" spans="1:1" x14ac:dyDescent="0.3">
      <c r="A77" t="s">
        <v>393</v>
      </c>
    </row>
    <row r="78" spans="1:1" x14ac:dyDescent="0.3">
      <c r="A78" t="s">
        <v>394</v>
      </c>
    </row>
    <row r="79" spans="1:1" x14ac:dyDescent="0.3">
      <c r="A79" t="s">
        <v>64</v>
      </c>
    </row>
    <row r="80" spans="1:1" x14ac:dyDescent="0.3">
      <c r="A80" t="s">
        <v>6</v>
      </c>
    </row>
    <row r="81" spans="1:1" x14ac:dyDescent="0.3">
      <c r="A81" t="s">
        <v>6</v>
      </c>
    </row>
    <row r="82" spans="1:1" x14ac:dyDescent="0.3">
      <c r="A82" t="s">
        <v>65</v>
      </c>
    </row>
    <row r="83" spans="1:1" x14ac:dyDescent="0.3">
      <c r="A83" t="s">
        <v>395</v>
      </c>
    </row>
    <row r="84" spans="1:1" x14ac:dyDescent="0.3">
      <c r="A84" t="s">
        <v>396</v>
      </c>
    </row>
    <row r="85" spans="1:1" x14ac:dyDescent="0.3">
      <c r="A85" t="s">
        <v>397</v>
      </c>
    </row>
    <row r="86" spans="1:1" x14ac:dyDescent="0.3">
      <c r="A86" t="s">
        <v>398</v>
      </c>
    </row>
    <row r="87" spans="1:1" x14ac:dyDescent="0.3">
      <c r="A87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DF0C-1791-4584-BE52-08D0BDE60138}">
  <dimension ref="A1:A136"/>
  <sheetViews>
    <sheetView tabSelected="1" topLeftCell="A120" workbookViewId="0">
      <selection activeCell="C139" sqref="C139"/>
    </sheetView>
  </sheetViews>
  <sheetFormatPr defaultRowHeight="14.4" x14ac:dyDescent="0.3"/>
  <cols>
    <col min="1" max="1" width="64" bestFit="1" customWidth="1"/>
  </cols>
  <sheetData>
    <row r="1" spans="1:1" x14ac:dyDescent="0.3">
      <c r="A1" t="s">
        <v>488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66</v>
      </c>
    </row>
    <row r="5" spans="1:1" x14ac:dyDescent="0.3">
      <c r="A5" t="s">
        <v>400</v>
      </c>
    </row>
    <row r="6" spans="1:1" x14ac:dyDescent="0.3">
      <c r="A6" t="s">
        <v>401</v>
      </c>
    </row>
    <row r="7" spans="1:1" x14ac:dyDescent="0.3">
      <c r="A7" t="s">
        <v>402</v>
      </c>
    </row>
    <row r="8" spans="1:1" x14ac:dyDescent="0.3">
      <c r="A8" t="s">
        <v>403</v>
      </c>
    </row>
    <row r="9" spans="1:1" x14ac:dyDescent="0.3">
      <c r="A9" t="s">
        <v>404</v>
      </c>
    </row>
    <row r="10" spans="1:1" x14ac:dyDescent="0.3">
      <c r="A10" t="s">
        <v>405</v>
      </c>
    </row>
    <row r="11" spans="1:1" x14ac:dyDescent="0.3">
      <c r="A11" t="s">
        <v>67</v>
      </c>
    </row>
    <row r="12" spans="1:1" x14ac:dyDescent="0.3">
      <c r="A12" t="s">
        <v>406</v>
      </c>
    </row>
    <row r="13" spans="1:1" x14ac:dyDescent="0.3">
      <c r="A13" t="s">
        <v>407</v>
      </c>
    </row>
    <row r="14" spans="1:1" x14ac:dyDescent="0.3">
      <c r="A14" t="s">
        <v>68</v>
      </c>
    </row>
    <row r="15" spans="1:1" x14ac:dyDescent="0.3">
      <c r="A15" t="s">
        <v>408</v>
      </c>
    </row>
    <row r="16" spans="1:1" x14ac:dyDescent="0.3">
      <c r="A16" t="s">
        <v>409</v>
      </c>
    </row>
    <row r="17" spans="1:1" x14ac:dyDescent="0.3">
      <c r="A17" t="s">
        <v>410</v>
      </c>
    </row>
    <row r="18" spans="1:1" x14ac:dyDescent="0.3">
      <c r="A18" t="s">
        <v>411</v>
      </c>
    </row>
    <row r="19" spans="1:1" x14ac:dyDescent="0.3">
      <c r="A19" t="s">
        <v>412</v>
      </c>
    </row>
    <row r="20" spans="1:1" x14ac:dyDescent="0.3">
      <c r="A20" t="s">
        <v>413</v>
      </c>
    </row>
    <row r="21" spans="1:1" x14ac:dyDescent="0.3">
      <c r="A21" t="s">
        <v>6</v>
      </c>
    </row>
    <row r="22" spans="1:1" x14ac:dyDescent="0.3">
      <c r="A22" t="s">
        <v>6</v>
      </c>
    </row>
    <row r="23" spans="1:1" x14ac:dyDescent="0.3">
      <c r="A23" t="s">
        <v>69</v>
      </c>
    </row>
    <row r="24" spans="1:1" x14ac:dyDescent="0.3">
      <c r="A24">
        <v>160</v>
      </c>
    </row>
    <row r="25" spans="1:1" x14ac:dyDescent="0.3">
      <c r="A25">
        <v>112</v>
      </c>
    </row>
    <row r="26" spans="1:1" x14ac:dyDescent="0.3">
      <c r="A26" t="s">
        <v>70</v>
      </c>
    </row>
    <row r="27" spans="1:1" x14ac:dyDescent="0.3">
      <c r="A27">
        <v>43</v>
      </c>
    </row>
    <row r="28" spans="1:1" x14ac:dyDescent="0.3">
      <c r="A28">
        <v>66</v>
      </c>
    </row>
    <row r="29" spans="1:1" x14ac:dyDescent="0.3">
      <c r="A29" t="s">
        <v>71</v>
      </c>
    </row>
    <row r="30" spans="1:1" x14ac:dyDescent="0.3">
      <c r="A30" t="s">
        <v>414</v>
      </c>
    </row>
    <row r="31" spans="1:1" x14ac:dyDescent="0.3">
      <c r="A31" t="s">
        <v>415</v>
      </c>
    </row>
    <row r="32" spans="1:1" x14ac:dyDescent="0.3">
      <c r="A32" t="s">
        <v>72</v>
      </c>
    </row>
    <row r="33" spans="1:1" x14ac:dyDescent="0.3">
      <c r="A33" t="s">
        <v>416</v>
      </c>
    </row>
    <row r="34" spans="1:1" x14ac:dyDescent="0.3">
      <c r="A34" t="s">
        <v>417</v>
      </c>
    </row>
    <row r="35" spans="1:1" x14ac:dyDescent="0.3">
      <c r="A35" t="s">
        <v>73</v>
      </c>
    </row>
    <row r="36" spans="1:1" x14ac:dyDescent="0.3">
      <c r="A36" t="s">
        <v>6</v>
      </c>
    </row>
    <row r="37" spans="1:1" x14ac:dyDescent="0.3">
      <c r="A37" t="s">
        <v>6</v>
      </c>
    </row>
    <row r="38" spans="1:1" x14ac:dyDescent="0.3">
      <c r="A38" t="s">
        <v>74</v>
      </c>
    </row>
    <row r="39" spans="1:1" x14ac:dyDescent="0.3">
      <c r="A39" t="s">
        <v>418</v>
      </c>
    </row>
    <row r="40" spans="1:1" x14ac:dyDescent="0.3">
      <c r="A40" t="s">
        <v>419</v>
      </c>
    </row>
    <row r="41" spans="1:1" x14ac:dyDescent="0.3">
      <c r="A41" t="s">
        <v>420</v>
      </c>
    </row>
    <row r="42" spans="1:1" x14ac:dyDescent="0.3">
      <c r="A42" t="s">
        <v>421</v>
      </c>
    </row>
    <row r="43" spans="1:1" x14ac:dyDescent="0.3">
      <c r="A43" t="s">
        <v>422</v>
      </c>
    </row>
    <row r="44" spans="1:1" x14ac:dyDescent="0.3">
      <c r="A44" t="s">
        <v>423</v>
      </c>
    </row>
    <row r="45" spans="1:1" x14ac:dyDescent="0.3">
      <c r="A45" t="s">
        <v>424</v>
      </c>
    </row>
    <row r="46" spans="1:1" x14ac:dyDescent="0.3">
      <c r="A46" t="s">
        <v>425</v>
      </c>
    </row>
    <row r="47" spans="1:1" x14ac:dyDescent="0.3">
      <c r="A47" t="s">
        <v>75</v>
      </c>
    </row>
    <row r="48" spans="1:1" x14ac:dyDescent="0.3">
      <c r="A48" t="s">
        <v>6</v>
      </c>
    </row>
    <row r="49" spans="1:1" x14ac:dyDescent="0.3">
      <c r="A49" t="s">
        <v>6</v>
      </c>
    </row>
    <row r="50" spans="1:1" x14ac:dyDescent="0.3">
      <c r="A50" t="s">
        <v>76</v>
      </c>
    </row>
    <row r="51" spans="1:1" x14ac:dyDescent="0.3">
      <c r="A51" t="s">
        <v>6</v>
      </c>
    </row>
    <row r="52" spans="1:1" x14ac:dyDescent="0.3">
      <c r="A52" t="s">
        <v>6</v>
      </c>
    </row>
    <row r="53" spans="1:1" x14ac:dyDescent="0.3">
      <c r="A53" t="s">
        <v>77</v>
      </c>
    </row>
    <row r="54" spans="1:1" x14ac:dyDescent="0.3">
      <c r="A54">
        <v>160</v>
      </c>
    </row>
    <row r="55" spans="1:1" x14ac:dyDescent="0.3">
      <c r="A55">
        <v>160</v>
      </c>
    </row>
    <row r="56" spans="1:1" x14ac:dyDescent="0.3">
      <c r="A56" t="s">
        <v>78</v>
      </c>
    </row>
    <row r="57" spans="1:1" x14ac:dyDescent="0.3">
      <c r="A57">
        <v>43</v>
      </c>
    </row>
    <row r="58" spans="1:1" x14ac:dyDescent="0.3">
      <c r="A58">
        <v>42</v>
      </c>
    </row>
    <row r="59" spans="1:1" x14ac:dyDescent="0.3">
      <c r="A59" t="s">
        <v>79</v>
      </c>
    </row>
    <row r="60" spans="1:1" x14ac:dyDescent="0.3">
      <c r="A60" t="s">
        <v>426</v>
      </c>
    </row>
    <row r="61" spans="1:1" x14ac:dyDescent="0.3">
      <c r="A61" t="s">
        <v>427</v>
      </c>
    </row>
    <row r="62" spans="1:1" x14ac:dyDescent="0.3">
      <c r="A62" t="s">
        <v>80</v>
      </c>
    </row>
    <row r="63" spans="1:1" x14ac:dyDescent="0.3">
      <c r="A63" t="s">
        <v>6</v>
      </c>
    </row>
    <row r="64" spans="1:1" x14ac:dyDescent="0.3">
      <c r="A64" t="s">
        <v>6</v>
      </c>
    </row>
    <row r="65" spans="1:1" x14ac:dyDescent="0.3">
      <c r="A65" t="s">
        <v>34</v>
      </c>
    </row>
    <row r="66" spans="1:1" x14ac:dyDescent="0.3">
      <c r="A66" t="s">
        <v>428</v>
      </c>
    </row>
    <row r="67" spans="1:1" x14ac:dyDescent="0.3">
      <c r="A67" t="s">
        <v>429</v>
      </c>
    </row>
    <row r="68" spans="1:1" x14ac:dyDescent="0.3">
      <c r="A68" t="s">
        <v>430</v>
      </c>
    </row>
    <row r="69" spans="1:1" x14ac:dyDescent="0.3">
      <c r="A69" t="s">
        <v>431</v>
      </c>
    </row>
    <row r="70" spans="1:1" x14ac:dyDescent="0.3">
      <c r="A70" t="s">
        <v>432</v>
      </c>
    </row>
    <row r="71" spans="1:1" x14ac:dyDescent="0.3">
      <c r="A71" t="s">
        <v>433</v>
      </c>
    </row>
    <row r="72" spans="1:1" x14ac:dyDescent="0.3">
      <c r="A72" t="s">
        <v>434</v>
      </c>
    </row>
    <row r="73" spans="1:1" x14ac:dyDescent="0.3">
      <c r="A73" t="s">
        <v>435</v>
      </c>
    </row>
    <row r="74" spans="1:1" x14ac:dyDescent="0.3">
      <c r="A74" t="s">
        <v>81</v>
      </c>
    </row>
    <row r="75" spans="1:1" x14ac:dyDescent="0.3">
      <c r="A75" t="s">
        <v>436</v>
      </c>
    </row>
    <row r="76" spans="1:1" x14ac:dyDescent="0.3">
      <c r="A76" t="s">
        <v>437</v>
      </c>
    </row>
    <row r="77" spans="1:1" x14ac:dyDescent="0.3">
      <c r="A77" t="s">
        <v>82</v>
      </c>
    </row>
    <row r="78" spans="1:1" x14ac:dyDescent="0.3">
      <c r="A78" t="s">
        <v>438</v>
      </c>
    </row>
    <row r="79" spans="1:1" x14ac:dyDescent="0.3">
      <c r="A79" t="s">
        <v>439</v>
      </c>
    </row>
    <row r="80" spans="1:1" x14ac:dyDescent="0.3">
      <c r="A80" t="s">
        <v>83</v>
      </c>
    </row>
    <row r="81" spans="1:1" x14ac:dyDescent="0.3">
      <c r="A81" t="s">
        <v>440</v>
      </c>
    </row>
    <row r="82" spans="1:1" x14ac:dyDescent="0.3">
      <c r="A82" t="s">
        <v>441</v>
      </c>
    </row>
    <row r="83" spans="1:1" x14ac:dyDescent="0.3">
      <c r="A83" t="s">
        <v>84</v>
      </c>
    </row>
    <row r="84" spans="1:1" x14ac:dyDescent="0.3">
      <c r="A84" t="s">
        <v>442</v>
      </c>
    </row>
    <row r="85" spans="1:1" x14ac:dyDescent="0.3">
      <c r="A85" t="s">
        <v>443</v>
      </c>
    </row>
    <row r="86" spans="1:1" x14ac:dyDescent="0.3">
      <c r="A86" t="s">
        <v>85</v>
      </c>
    </row>
    <row r="87" spans="1:1" x14ac:dyDescent="0.3">
      <c r="A87" t="s">
        <v>444</v>
      </c>
    </row>
    <row r="88" spans="1:1" x14ac:dyDescent="0.3">
      <c r="A88" t="s">
        <v>445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446</v>
      </c>
    </row>
    <row r="92" spans="1:1" x14ac:dyDescent="0.3">
      <c r="A92" t="s">
        <v>447</v>
      </c>
    </row>
    <row r="93" spans="1:1" x14ac:dyDescent="0.3">
      <c r="A93" t="s">
        <v>448</v>
      </c>
    </row>
    <row r="94" spans="1:1" x14ac:dyDescent="0.3">
      <c r="A94" t="s">
        <v>449</v>
      </c>
    </row>
    <row r="95" spans="1:1" x14ac:dyDescent="0.3">
      <c r="A95" t="s">
        <v>450</v>
      </c>
    </row>
    <row r="96" spans="1:1" x14ac:dyDescent="0.3">
      <c r="A96" t="s">
        <v>451</v>
      </c>
    </row>
    <row r="97" spans="1:1" x14ac:dyDescent="0.3">
      <c r="A97" t="s">
        <v>452</v>
      </c>
    </row>
    <row r="98" spans="1:1" x14ac:dyDescent="0.3">
      <c r="A98" t="s">
        <v>453</v>
      </c>
    </row>
    <row r="99" spans="1:1" x14ac:dyDescent="0.3">
      <c r="A99" t="s">
        <v>454</v>
      </c>
    </row>
    <row r="100" spans="1:1" x14ac:dyDescent="0.3">
      <c r="A100" t="s">
        <v>89</v>
      </c>
    </row>
    <row r="101" spans="1:1" x14ac:dyDescent="0.3">
      <c r="A101" t="s">
        <v>455</v>
      </c>
    </row>
    <row r="102" spans="1:1" x14ac:dyDescent="0.3">
      <c r="A102" t="s">
        <v>456</v>
      </c>
    </row>
    <row r="103" spans="1:1" x14ac:dyDescent="0.3">
      <c r="A103" t="s">
        <v>90</v>
      </c>
    </row>
    <row r="104" spans="1:1" x14ac:dyDescent="0.3">
      <c r="A104" t="s">
        <v>457</v>
      </c>
    </row>
    <row r="105" spans="1:1" x14ac:dyDescent="0.3">
      <c r="A105" t="s">
        <v>458</v>
      </c>
    </row>
    <row r="106" spans="1:1" x14ac:dyDescent="0.3">
      <c r="A106" t="s">
        <v>459</v>
      </c>
    </row>
    <row r="107" spans="1:1" x14ac:dyDescent="0.3">
      <c r="A107" t="s">
        <v>460</v>
      </c>
    </row>
    <row r="108" spans="1:1" x14ac:dyDescent="0.3">
      <c r="A108" t="s">
        <v>461</v>
      </c>
    </row>
    <row r="109" spans="1:1" x14ac:dyDescent="0.3">
      <c r="A109" t="s">
        <v>91</v>
      </c>
    </row>
    <row r="110" spans="1:1" x14ac:dyDescent="0.3">
      <c r="A110" t="s">
        <v>88</v>
      </c>
    </row>
    <row r="111" spans="1:1" x14ac:dyDescent="0.3">
      <c r="A111" t="s">
        <v>462</v>
      </c>
    </row>
    <row r="112" spans="1:1" x14ac:dyDescent="0.3">
      <c r="A112" t="s">
        <v>463</v>
      </c>
    </row>
    <row r="113" spans="1:1" x14ac:dyDescent="0.3">
      <c r="A113" t="s">
        <v>92</v>
      </c>
    </row>
    <row r="114" spans="1:1" x14ac:dyDescent="0.3">
      <c r="A114" t="s">
        <v>464</v>
      </c>
    </row>
    <row r="115" spans="1:1" x14ac:dyDescent="0.3">
      <c r="A115" t="s">
        <v>465</v>
      </c>
    </row>
    <row r="116" spans="1:1" x14ac:dyDescent="0.3">
      <c r="A116" t="s">
        <v>93</v>
      </c>
    </row>
    <row r="117" spans="1:1" x14ac:dyDescent="0.3">
      <c r="A117" t="s">
        <v>466</v>
      </c>
    </row>
    <row r="118" spans="1:1" x14ac:dyDescent="0.3">
      <c r="A118" t="s">
        <v>467</v>
      </c>
    </row>
    <row r="119" spans="1:1" x14ac:dyDescent="0.3">
      <c r="A119" t="s">
        <v>94</v>
      </c>
    </row>
    <row r="120" spans="1:1" x14ac:dyDescent="0.3">
      <c r="A120" t="s">
        <v>468</v>
      </c>
    </row>
    <row r="121" spans="1:1" x14ac:dyDescent="0.3">
      <c r="A121" t="s">
        <v>469</v>
      </c>
    </row>
    <row r="122" spans="1:1" x14ac:dyDescent="0.3">
      <c r="A122" t="s">
        <v>95</v>
      </c>
    </row>
    <row r="123" spans="1:1" x14ac:dyDescent="0.3">
      <c r="A123" t="s">
        <v>470</v>
      </c>
    </row>
    <row r="124" spans="1:1" x14ac:dyDescent="0.3">
      <c r="A124" t="s">
        <v>471</v>
      </c>
    </row>
    <row r="125" spans="1:1" x14ac:dyDescent="0.3">
      <c r="A125" t="s">
        <v>96</v>
      </c>
    </row>
    <row r="126" spans="1:1" x14ac:dyDescent="0.3">
      <c r="A126" t="s">
        <v>472</v>
      </c>
    </row>
    <row r="127" spans="1:1" x14ac:dyDescent="0.3">
      <c r="A127" t="s">
        <v>473</v>
      </c>
    </row>
    <row r="128" spans="1:1" x14ac:dyDescent="0.3">
      <c r="A128" t="s">
        <v>278</v>
      </c>
    </row>
    <row r="129" spans="1:1" x14ac:dyDescent="0.3">
      <c r="A129" t="s">
        <v>474</v>
      </c>
    </row>
    <row r="130" spans="1:1" x14ac:dyDescent="0.3">
      <c r="A130" t="s">
        <v>475</v>
      </c>
    </row>
    <row r="131" spans="1:1" x14ac:dyDescent="0.3">
      <c r="A131" t="s">
        <v>38</v>
      </c>
    </row>
    <row r="132" spans="1:1" x14ac:dyDescent="0.3">
      <c r="A132" t="s">
        <v>476</v>
      </c>
    </row>
    <row r="133" spans="1:1" x14ac:dyDescent="0.3">
      <c r="A133" t="s">
        <v>477</v>
      </c>
    </row>
    <row r="134" spans="1:1" x14ac:dyDescent="0.3">
      <c r="A134" t="s">
        <v>97</v>
      </c>
    </row>
    <row r="135" spans="1:1" x14ac:dyDescent="0.3">
      <c r="A135" t="s">
        <v>395</v>
      </c>
    </row>
    <row r="136" spans="1:1" x14ac:dyDescent="0.3">
      <c r="A13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2026-04-09T19:36:44Z</dcterms:modified>
</cp:coreProperties>
</file>
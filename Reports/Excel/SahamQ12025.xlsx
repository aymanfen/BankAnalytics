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D89ED506-F6EB-4260-84B3-6020F348E7D9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3" l="1" a="1"/>
  <c r="A13" i="3" s="1"/>
  <c r="A16" i="3" a="1"/>
  <c r="A16" i="3" s="1"/>
  <c r="A59" i="3" a="1"/>
  <c r="A59" i="3" s="1"/>
  <c r="A62" i="3" a="1"/>
  <c r="A62" i="3" s="1"/>
  <c r="A71" i="3" a="1"/>
  <c r="A71" i="3" s="1"/>
  <c r="A78" i="3" a="1"/>
  <c r="A78" i="3" s="1"/>
  <c r="A97" i="3" a="1"/>
  <c r="A97" i="3" s="1"/>
  <c r="A64" i="2" a="1"/>
  <c r="A64" i="2" s="1"/>
  <c r="A67" i="2" a="1"/>
  <c r="A67" i="2" s="1"/>
  <c r="A73" i="2" a="1"/>
  <c r="A73" i="2" s="1"/>
  <c r="A76" i="2" a="1"/>
  <c r="A76" i="2" s="1"/>
  <c r="A82" i="2" a="1"/>
  <c r="A82" i="2" s="1"/>
  <c r="A85" i="2" a="1"/>
  <c r="A85" i="2" s="1"/>
  <c r="A13" i="1" a="1"/>
  <c r="A13" i="1" s="1"/>
  <c r="A16" i="1" a="1"/>
  <c r="A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<sst xmlns="http://schemas.openxmlformats.org/spreadsheetml/2006/main" count="576" uniqueCount="439">
  <si>
    <t>ACTIF</t>
  </si>
  <si>
    <t>31/03/2025</t>
  </si>
  <si>
    <t>31/12/2024</t>
  </si>
  <si>
    <t>Caisse et banques centrales</t>
  </si>
  <si>
    <t>2 359 285</t>
  </si>
  <si>
    <t>7 297 706</t>
  </si>
  <si>
    <t>Actifs financiers disponibles à la vente</t>
  </si>
  <si>
    <t>-</t>
  </si>
  <si>
    <t>Actifs financiers à la juste valeur par résultat</t>
  </si>
  <si>
    <t>5 438 095</t>
  </si>
  <si>
    <t>3 294 972</t>
  </si>
  <si>
    <t>3 921 091</t>
  </si>
  <si>
    <t>2 827 018</t>
  </si>
  <si>
    <t>1 517 004</t>
  </si>
  <si>
    <t>467 954</t>
  </si>
  <si>
    <t>Instruments dérivés de couverture</t>
  </si>
  <si>
    <t>Actifs financiers à la juste valeur par capitaux propres</t>
  </si>
  <si>
    <t>Instruments de dettes comptabilisés à la juste valeur par capitaux propres recyclables</t>
  </si>
  <si>
    <t>Instruments de capitaux propres comptabilisés à la juste valeur par capitaux propres non</t>
  </si>
  <si>
    <t>recyclables</t>
  </si>
  <si>
    <t>Prêts et créances sur les ec et assimilés au coût amorti</t>
  </si>
  <si>
    <t>8 471 869</t>
  </si>
  <si>
    <t>6 509 582</t>
  </si>
  <si>
    <t>Prêts et créances sur la clientèle et assimilés au coût amorti</t>
  </si>
  <si>
    <t>93 432 161</t>
  </si>
  <si>
    <t>93 972 646</t>
  </si>
  <si>
    <t>Écart de réévaluation des portefeuilles couverts en taux</t>
  </si>
  <si>
    <t>Titres au coût amorti</t>
  </si>
  <si>
    <t>7 763 482</t>
  </si>
  <si>
    <t>7 993 069</t>
  </si>
  <si>
    <t>Actifs d'impôts courants</t>
  </si>
  <si>
    <t>563 034</t>
  </si>
  <si>
    <t>1 235 729</t>
  </si>
  <si>
    <t>Actifs d'impôts différés</t>
  </si>
  <si>
    <t>1 797 158</t>
  </si>
  <si>
    <t>1 784 277</t>
  </si>
  <si>
    <t>Comptes de régularisation et actifs divers</t>
  </si>
  <si>
    <t>1 061 330</t>
  </si>
  <si>
    <t>1 098 260</t>
  </si>
  <si>
    <t>Actifs non courants destinés à être cédés</t>
  </si>
  <si>
    <t>Participations dans les entreprises mises en équivalence</t>
  </si>
  <si>
    <t>475 115</t>
  </si>
  <si>
    <t>460 108</t>
  </si>
  <si>
    <t>Immeubles de placement</t>
  </si>
  <si>
    <t>Immobilisations corporelles</t>
  </si>
  <si>
    <t>2 582 455</t>
  </si>
  <si>
    <t>2 557 311</t>
  </si>
  <si>
    <t>Immobilisations incorporelles</t>
  </si>
  <si>
    <t>1 172 928</t>
  </si>
  <si>
    <t>1 135 491</t>
  </si>
  <si>
    <t>Écarts d'acquisition</t>
  </si>
  <si>
    <t>172 472</t>
  </si>
  <si>
    <t>TOTAL ACTIF</t>
  </si>
  <si>
    <t>125 289 383</t>
  </si>
  <si>
    <t>127 511 623</t>
  </si>
  <si>
    <t>PASSIF</t>
  </si>
  <si>
    <t>Banques centrales, trésor public, service des chèques postaux</t>
  </si>
  <si>
    <t>Passifs financiers à la juste valeur par résultat</t>
  </si>
  <si>
    <t>44 722</t>
  </si>
  <si>
    <t>27 833</t>
  </si>
  <si>
    <t>Passifs financiers détenus à des fins de transaction</t>
  </si>
  <si>
    <t>Passifs financiers à la juste valeur par résultat sur option</t>
  </si>
  <si>
    <t>Dettes envers les établissements de crédit et assimilés</t>
  </si>
  <si>
    <t>5 681 222</t>
  </si>
  <si>
    <t>6 748 809</t>
  </si>
  <si>
    <t>Dettes envers la clientèle</t>
  </si>
  <si>
    <t>79 007 484</t>
  </si>
  <si>
    <t>80 132 722</t>
  </si>
  <si>
    <t>Titres de créance émis</t>
  </si>
  <si>
    <t>14 852 628</t>
  </si>
  <si>
    <t>14 351 901</t>
  </si>
  <si>
    <t>Ecart de réévaluation des portefeuilles couverts en taux</t>
  </si>
  <si>
    <t>Passifs d'impôt exigible</t>
  </si>
  <si>
    <t>1 231 621</t>
  </si>
  <si>
    <t>2 122 418</t>
  </si>
  <si>
    <t>Passifs d'impôt différé</t>
  </si>
  <si>
    <t>754 213</t>
  </si>
  <si>
    <t>765 282</t>
  </si>
  <si>
    <t>Comptes de régularisation et autres passifs</t>
  </si>
  <si>
    <t>4 907 452</t>
  </si>
  <si>
    <t>4 951 227</t>
  </si>
  <si>
    <t>Dettes liées aux actifs non courants destinés à être cédés</t>
  </si>
  <si>
    <t>Passifs relatifs aux contrats des activités d’assurance</t>
  </si>
  <si>
    <t>Provisions</t>
  </si>
  <si>
    <t>1 221 379</t>
  </si>
  <si>
    <t>1 235 643</t>
  </si>
  <si>
    <t>Subventions et fonds assimilés</t>
  </si>
  <si>
    <t>Dettes subordonnées et fonds spéciaux de garantie</t>
  </si>
  <si>
    <t>1 651 006</t>
  </si>
  <si>
    <t>1 634 402</t>
  </si>
  <si>
    <t>Capitaux propres</t>
  </si>
  <si>
    <t>15 937 656</t>
  </si>
  <si>
    <t>15 541 387</t>
  </si>
  <si>
    <t>Capital et réserves liées</t>
  </si>
  <si>
    <t>12 742 665</t>
  </si>
  <si>
    <t>Réserves consolidées</t>
  </si>
  <si>
    <t>2 710 241</t>
  </si>
  <si>
    <t>1 916 391</t>
  </si>
  <si>
    <t>2 118 179</t>
  </si>
  <si>
    <t>1 266 976</t>
  </si>
  <si>
    <t>656 826</t>
  </si>
  <si>
    <t>649 414</t>
  </si>
  <si>
    <t>Gains et pertes comptabilisés directement en capitaux propres</t>
  </si>
  <si>
    <t>64 763</t>
  </si>
  <si>
    <t>87 249</t>
  </si>
  <si>
    <t>72 601</t>
  </si>
  <si>
    <t>91 011</t>
  </si>
  <si>
    <t>-7 837</t>
  </si>
  <si>
    <t>-3 763</t>
  </si>
  <si>
    <t>Résultat de l’exercice</t>
  </si>
  <si>
    <t>419 988</t>
  </si>
  <si>
    <t>795 082</t>
  </si>
  <si>
    <t>408 705</t>
  </si>
  <si>
    <t>783 347</t>
  </si>
  <si>
    <t>11 283</t>
  </si>
  <si>
    <t>11 735</t>
  </si>
  <si>
    <t>TOTAL PASSIF</t>
  </si>
  <si>
    <t>COMPTES DE RÉSULTAT</t>
  </si>
  <si>
    <t>31/03/2024</t>
  </si>
  <si>
    <t>Intérêts et produits assimilés</t>
  </si>
  <si>
    <t>1 273 742</t>
  </si>
  <si>
    <t>1 407 065</t>
  </si>
  <si>
    <t>Intérêts et charges assimilés</t>
  </si>
  <si>
    <t>-292 903</t>
  </si>
  <si>
    <t>-440 913</t>
  </si>
  <si>
    <t>MARGE D'INTÉRÊT</t>
  </si>
  <si>
    <t>980 839</t>
  </si>
  <si>
    <t>966 152</t>
  </si>
  <si>
    <t>467 991</t>
  </si>
  <si>
    <t>470 055</t>
  </si>
  <si>
    <t>-70 050</t>
  </si>
  <si>
    <t>-71 417</t>
  </si>
  <si>
    <t>MARGE SUR COMMISSIONS</t>
  </si>
  <si>
    <t>397 941</t>
  </si>
  <si>
    <t>398 638</t>
  </si>
  <si>
    <t>+/- Gains ou pertes nets résultant des couvertures de position nette</t>
  </si>
  <si>
    <t>+/- Gains ou pertes nets des instruments financiers à la juste valeur par résultat</t>
  </si>
  <si>
    <t>35 085</t>
  </si>
  <si>
    <t>36 587</t>
  </si>
  <si>
    <t>Gains ou pertes nets sur actifs/passifs de transaction</t>
  </si>
  <si>
    <t>21 076</t>
  </si>
  <si>
    <t>32 341</t>
  </si>
  <si>
    <t>Gains ou pertes nets sur autres actifs/passifs à la juste valeur par résultat</t>
  </si>
  <si>
    <t>14 009</t>
  </si>
  <si>
    <t>4 246</t>
  </si>
  <si>
    <t>+/- Gains ou pertes nets des instruments financiers à la juste valeur par capitaux propres</t>
  </si>
  <si>
    <t>Gains ou pertes nets sur instruments de dettes comptabilisés en capitaux propres</t>
  </si>
  <si>
    <t>Rémunération des instruments de capitaux propres comptabilisés en capitaux propres non</t>
  </si>
  <si>
    <t>recyclables (dividendes)</t>
  </si>
  <si>
    <t>+/- Gains ou pertes nets résultant de la décomptabilisation d’actifs financiers au coût amorti</t>
  </si>
  <si>
    <t>+/- Gains ou pertes nets résultant du reclassement d’actifs financiers au coût amorti en actifs</t>
  </si>
  <si>
    <t>financiers à la juste va</t>
  </si>
  <si>
    <t>+/- Gains ou pertes nets résultant du reclassement d’actifs financiers à la juste valeur par</t>
  </si>
  <si>
    <t>capitaux propres en actifs</t>
  </si>
  <si>
    <t>+/- Produits nets des activités d’assurance</t>
  </si>
  <si>
    <t>52 795</t>
  </si>
  <si>
    <t>40 428</t>
  </si>
  <si>
    <t>-23 169</t>
  </si>
  <si>
    <t>Produit net bancaire</t>
  </si>
  <si>
    <t>1 467 240</t>
  </si>
  <si>
    <t>1 418 916</t>
  </si>
  <si>
    <t>- Charges générales d'exploitation</t>
  </si>
  <si>
    <t>-601 885</t>
  </si>
  <si>
    <t>-578 866</t>
  </si>
  <si>
    <t>corporelles</t>
  </si>
  <si>
    <t>-121 478</t>
  </si>
  <si>
    <t>-111 565</t>
  </si>
  <si>
    <t>Résultat brut d’exploitation</t>
  </si>
  <si>
    <t>743 877</t>
  </si>
  <si>
    <t>728 485</t>
  </si>
  <si>
    <t>-66 633</t>
  </si>
  <si>
    <t>-172 041</t>
  </si>
  <si>
    <t>Résultat d’exploitation</t>
  </si>
  <si>
    <t>677 244</t>
  </si>
  <si>
    <t>556 444</t>
  </si>
  <si>
    <t>+/- Quote-part du résultat net des entreprises associées et des coentreprises mises en</t>
  </si>
  <si>
    <t>équivalence</t>
  </si>
  <si>
    <t>15 007</t>
  </si>
  <si>
    <t>16 244</t>
  </si>
  <si>
    <t>+/- Gains ou pertes nets sur autres actifs</t>
  </si>
  <si>
    <t>+/- Variations de valeur des écarts d'acquisition</t>
  </si>
  <si>
    <t>Résultat avant impôts</t>
  </si>
  <si>
    <t>692 252</t>
  </si>
  <si>
    <t>572 936</t>
  </si>
  <si>
    <t>-272 264</t>
  </si>
  <si>
    <t>-213 888</t>
  </si>
  <si>
    <t>+/- Résultat net d'impôt des activités arrêtées ou en cours de cession</t>
  </si>
  <si>
    <t>Résultat net</t>
  </si>
  <si>
    <t>359 049</t>
  </si>
  <si>
    <t>Intérêts minoritaires (ou participations ne donnant pas le contrôle)</t>
  </si>
  <si>
    <t>-11 283</t>
  </si>
  <si>
    <t>-19 067</t>
  </si>
  <si>
    <t>RÉSULTAT NET PART DU GROUPE</t>
  </si>
  <si>
    <t>339 982</t>
  </si>
  <si>
    <t>Valeurs en caisse, Banques centrales, Trésor public, Service CP</t>
  </si>
  <si>
    <t>2 358 730</t>
  </si>
  <si>
    <t>7 297 501</t>
  </si>
  <si>
    <t>Créances sur les établissements de crédit et assimilés</t>
  </si>
  <si>
    <t>10 540 141</t>
  </si>
  <si>
    <t>9 199 287</t>
  </si>
  <si>
    <t>. A vue</t>
  </si>
  <si>
    <t>1 779 814</t>
  </si>
  <si>
    <t>1 644 055</t>
  </si>
  <si>
    <t>. A terme</t>
  </si>
  <si>
    <t>8 760 327</t>
  </si>
  <si>
    <t>7 555 232</t>
  </si>
  <si>
    <t>Créances sur la clientèle</t>
  </si>
  <si>
    <t>76 867 473</t>
  </si>
  <si>
    <t>77 569 323</t>
  </si>
  <si>
    <t>. Crédits et financements participatifs de trésorerie et à la consommation</t>
  </si>
  <si>
    <t>25 958 835</t>
  </si>
  <si>
    <t>27 253 485</t>
  </si>
  <si>
    <t>. Crédits et financements participatifs à l'équipement</t>
  </si>
  <si>
    <t>20 415 400</t>
  </si>
  <si>
    <t>20 216 390</t>
  </si>
  <si>
    <t>. Crédits et financements participatifs immobiliers</t>
  </si>
  <si>
    <t>26 556 108</t>
  </si>
  <si>
    <t>26 162 105</t>
  </si>
  <si>
    <t>. Autres crédits et financements participatifs</t>
  </si>
  <si>
    <t>3 937 130</t>
  </si>
  <si>
    <t>3 937 343</t>
  </si>
  <si>
    <t>Créances acquises par affacturage</t>
  </si>
  <si>
    <t>1 773 189</t>
  </si>
  <si>
    <t>1 717 631</t>
  </si>
  <si>
    <t>Titres de transaction et de placement</t>
  </si>
  <si>
    <t>4 920 877</t>
  </si>
  <si>
    <t>2 829 125</t>
  </si>
  <si>
    <t>. Bons du Trésor et valeurs assimilées</t>
  </si>
  <si>
    <t>3 497 082</t>
  </si>
  <si>
    <t>2 715 325</t>
  </si>
  <si>
    <t>. Autres titres de créance</t>
  </si>
  <si>
    <t>406 651</t>
  </si>
  <si>
    <t>96 656</t>
  </si>
  <si>
    <t>. Certificat de SUKUK</t>
  </si>
  <si>
    <t>. Titres de propriété</t>
  </si>
  <si>
    <t>1 017 144</t>
  </si>
  <si>
    <t>17 144</t>
  </si>
  <si>
    <t>Autres actifs</t>
  </si>
  <si>
    <t>1 250 792</t>
  </si>
  <si>
    <t>1 910 917</t>
  </si>
  <si>
    <t>Titres d'investissement</t>
  </si>
  <si>
    <t>7 763 722</t>
  </si>
  <si>
    <t>7 993 308</t>
  </si>
  <si>
    <t>Titres de participation et emplois assimilés</t>
  </si>
  <si>
    <t>2 330 733</t>
  </si>
  <si>
    <t>2 290 004</t>
  </si>
  <si>
    <t>. Participation dans les entreprises liées</t>
  </si>
  <si>
    <t>1 717 212</t>
  </si>
  <si>
    <t>1 717 481</t>
  </si>
  <si>
    <t>. Autres titres de participation et emplois assimilés</t>
  </si>
  <si>
    <t>613 521</t>
  </si>
  <si>
    <t>572 523</t>
  </si>
  <si>
    <t>. Titres de Moudaraba et Moucharaka</t>
  </si>
  <si>
    <t>Créances subordonnées</t>
  </si>
  <si>
    <t>Dépôts d’investissement et Wakala Bil Istithmar placés</t>
  </si>
  <si>
    <t>Immobilisations données en crédit-bail et en location</t>
  </si>
  <si>
    <t>Immobilisations données en Ijara</t>
  </si>
  <si>
    <t>1 160 091</t>
  </si>
  <si>
    <t>1 129 449</t>
  </si>
  <si>
    <t>1 209 425</t>
  </si>
  <si>
    <t>1 200 826</t>
  </si>
  <si>
    <t>TOTAL DE L'ACTIF</t>
  </si>
  <si>
    <t>110 175 173</t>
  </si>
  <si>
    <t>113 137 371</t>
  </si>
  <si>
    <t>Banques centrales, Trésor public, Service des chèques postaux</t>
  </si>
  <si>
    <t>4 992 409</t>
  </si>
  <si>
    <t>6 067 865</t>
  </si>
  <si>
    <t>629 341</t>
  </si>
  <si>
    <t>491 887</t>
  </si>
  <si>
    <t>4 363 068</t>
  </si>
  <si>
    <t>5 575 978</t>
  </si>
  <si>
    <t>Dépôts de la clientèle</t>
  </si>
  <si>
    <t>78 143 253</t>
  </si>
  <si>
    <t>78 522 010</t>
  </si>
  <si>
    <t>. Comptes à vue créditeurs</t>
  </si>
  <si>
    <t>58 755 085</t>
  </si>
  <si>
    <t>60 630 279</t>
  </si>
  <si>
    <t>. Comptes d'épargne</t>
  </si>
  <si>
    <t>10 072 121</t>
  </si>
  <si>
    <t>10 058 883</t>
  </si>
  <si>
    <t>. Dépôts à terme</t>
  </si>
  <si>
    <t>4 535 162</t>
  </si>
  <si>
    <t>3 676 026</t>
  </si>
  <si>
    <t>. Autres comptes créditeurs</t>
  </si>
  <si>
    <t>4 780 885</t>
  </si>
  <si>
    <t>4 156 822</t>
  </si>
  <si>
    <t>Dettes envers la clientèle sur produits participatifs</t>
  </si>
  <si>
    <t>6 378</t>
  </si>
  <si>
    <t>5 417</t>
  </si>
  <si>
    <t>5 784 214</t>
  </si>
  <si>
    <t>6 647 642</t>
  </si>
  <si>
    <t>. Titres de créance négociables émis</t>
  </si>
  <si>
    <t>. Emprunts obligataires émis</t>
  </si>
  <si>
    <t>. Autres titres de créance émis</t>
  </si>
  <si>
    <t>Autres passifs</t>
  </si>
  <si>
    <t>3 300 473</t>
  </si>
  <si>
    <t>4 399 739</t>
  </si>
  <si>
    <t>Provisions pour risques et charges</t>
  </si>
  <si>
    <t>2 469 107</t>
  </si>
  <si>
    <t>2 445 342</t>
  </si>
  <si>
    <t>Provisions réglementées</t>
  </si>
  <si>
    <t>Subventions, fonds publics affectés et fonds spéciaux de garantie</t>
  </si>
  <si>
    <t>Dettes subordonnées</t>
  </si>
  <si>
    <t>Dépôts d’investissement et Wakala Bil Istithmar reçus</t>
  </si>
  <si>
    <t>280 395</t>
  </si>
  <si>
    <t>283 003</t>
  </si>
  <si>
    <t>Ecarts de réévaluation</t>
  </si>
  <si>
    <t>Réserves et primes liées au capital</t>
  </si>
  <si>
    <t>10 590 165</t>
  </si>
  <si>
    <t>Capital</t>
  </si>
  <si>
    <t>2 152 500</t>
  </si>
  <si>
    <t>Actionnaires. Capital non versé (-)</t>
  </si>
  <si>
    <t>Report à nouveau (+/-)</t>
  </si>
  <si>
    <t>Résultats nets en instance d'affectation (+/-)</t>
  </si>
  <si>
    <t>389 286</t>
  </si>
  <si>
    <t>Résultat net de l'exercice (+/-)</t>
  </si>
  <si>
    <t>415 987</t>
  </si>
  <si>
    <t>TOTAL DU PASSIF</t>
  </si>
  <si>
    <t>COMPTE DE PRODUITS ET CHARGES</t>
  </si>
  <si>
    <t>I.PRODUITS D'EXPLOITATION BANCAIRE</t>
  </si>
  <si>
    <t>1 628 894</t>
  </si>
  <si>
    <t>1 659 494</t>
  </si>
  <si>
    <t>1.Intérêts et produits assimilés sur opérations avec les établissements de crédit</t>
  </si>
  <si>
    <t>76 830</t>
  </si>
  <si>
    <t>108 289</t>
  </si>
  <si>
    <t>2.Intérêts et produits assimilés sur opérations avec la clientèle</t>
  </si>
  <si>
    <t>947 341</t>
  </si>
  <si>
    <t>937 004</t>
  </si>
  <si>
    <t>3.Intérêts et produits assimilés sur titres de créance</t>
  </si>
  <si>
    <t>54 044</t>
  </si>
  <si>
    <t>44 552</t>
  </si>
  <si>
    <t>4.Produits sur titres de propriété et certificats de Sukuk</t>
  </si>
  <si>
    <t>89 730</t>
  </si>
  <si>
    <t>125 474</t>
  </si>
  <si>
    <t>5.Produits sur titres de Moudaraba et Moucharaka</t>
  </si>
  <si>
    <t>6.Produits sur immobilisations en crédit-bail et en location</t>
  </si>
  <si>
    <t>7.Produits sur immobilisations données en Ijara</t>
  </si>
  <si>
    <t>8.Commissions sur prestations de service</t>
  </si>
  <si>
    <t>181 640</t>
  </si>
  <si>
    <t>180 686</t>
  </si>
  <si>
    <t>9.Autres produits bancaires</t>
  </si>
  <si>
    <t>279 301</t>
  </si>
  <si>
    <t>263 489</t>
  </si>
  <si>
    <t>10.Transfert de charges sur dépôts d’investissement et Wakala Bil Istithmar reçus</t>
  </si>
  <si>
    <t>II.CHARGES D'EXPLOITATION BANCAIRE</t>
  </si>
  <si>
    <t>314 830</t>
  </si>
  <si>
    <t>364 817</t>
  </si>
  <si>
    <t>11.Intérêts et charges assimilées sur opérations avec les établissements de crédit</t>
  </si>
  <si>
    <t>46 553</t>
  </si>
  <si>
    <t>60 311</t>
  </si>
  <si>
    <t>12.Intérêts et charges assimilées sur opérations avec la clientèle</t>
  </si>
  <si>
    <t>86 752</t>
  </si>
  <si>
    <t>101 732</t>
  </si>
  <si>
    <t>13.Intérêts et charges assimilées sur titres de créance émis</t>
  </si>
  <si>
    <t>67 443</t>
  </si>
  <si>
    <t>77 111</t>
  </si>
  <si>
    <t>14.Charges sur titres de Moudaraba et Moucharaka</t>
  </si>
  <si>
    <t>15.Charges sur immobilisations en crédit-bail et en location</t>
  </si>
  <si>
    <t>16.Charges sur immobilisations données en Ijara</t>
  </si>
  <si>
    <t>17.Autres charges bancaires</t>
  </si>
  <si>
    <t>112 001</t>
  </si>
  <si>
    <t>122 384</t>
  </si>
  <si>
    <t>18.Transfert de produits sur dépôts d’investissement et Wakala Bil Istithmar reçus</t>
  </si>
  <si>
    <t>2 081</t>
  </si>
  <si>
    <t>3 280</t>
  </si>
  <si>
    <t>III.PRODUIT NET BANCAIRE</t>
  </si>
  <si>
    <t>1 314 064</t>
  </si>
  <si>
    <t>1 294 677</t>
  </si>
  <si>
    <t>19.Produits d'exploitation non bancaire</t>
  </si>
  <si>
    <t>25 633</t>
  </si>
  <si>
    <t>33 080</t>
  </si>
  <si>
    <t>20.Charges d'exploitation non bancaire</t>
  </si>
  <si>
    <t>11 136</t>
  </si>
  <si>
    <t>23 225</t>
  </si>
  <si>
    <t>IV.CHARGES GENERALES D'EXPLOITATION</t>
  </si>
  <si>
    <t>631 154</t>
  </si>
  <si>
    <t>604 695</t>
  </si>
  <si>
    <t>21.Charges de personnel</t>
  </si>
  <si>
    <t>277 798</t>
  </si>
  <si>
    <t>274 896</t>
  </si>
  <si>
    <t>22.Impôts et taxes</t>
  </si>
  <si>
    <t>13 023</t>
  </si>
  <si>
    <t>12 077</t>
  </si>
  <si>
    <t>23.Charges externes</t>
  </si>
  <si>
    <t>220 989</t>
  </si>
  <si>
    <t>212 730</t>
  </si>
  <si>
    <t>24.Autres charges générales d'exploitation</t>
  </si>
  <si>
    <t>3 774</t>
  </si>
  <si>
    <t>3 396</t>
  </si>
  <si>
    <t>25.Dotations aux amortissements et aux provisions des immobilisations incorporelles</t>
  </si>
  <si>
    <t>et corporelles</t>
  </si>
  <si>
    <t>115 569</t>
  </si>
  <si>
    <t>101 594</t>
  </si>
  <si>
    <t>V.DOTATIONS AUX PROVISIONS ET PERTES SUR CREANCES IRRECOUVRABLES</t>
  </si>
  <si>
    <t>514 780</t>
  </si>
  <si>
    <t>756 662</t>
  </si>
  <si>
    <t>26.Dotations aux provisions pour créances et engagements par signature en souffrance</t>
  </si>
  <si>
    <t>429 715</t>
  </si>
  <si>
    <t>612 751</t>
  </si>
  <si>
    <t>27.Pertes sur créances irrécouvrables</t>
  </si>
  <si>
    <t>13 342</t>
  </si>
  <si>
    <t>120 996</t>
  </si>
  <si>
    <t>28.Autres dotations aux provisions</t>
  </si>
  <si>
    <t>71 724</t>
  </si>
  <si>
    <t>22 916</t>
  </si>
  <si>
    <t>VI.REPRISES DE PROVISIONS ET RECUPERATIONS SUR CREANCES AMORTIES</t>
  </si>
  <si>
    <t>478 425</t>
  </si>
  <si>
    <t>636 251</t>
  </si>
  <si>
    <t>29.Reprises de provisions pour créances et engagements par signature en souffrance</t>
  </si>
  <si>
    <t>425 646</t>
  </si>
  <si>
    <t>631 704</t>
  </si>
  <si>
    <t>30.Récupérations sur créances amorties</t>
  </si>
  <si>
    <t>1 100</t>
  </si>
  <si>
    <t>3 673</t>
  </si>
  <si>
    <t>31.Autres reprises de provisions</t>
  </si>
  <si>
    <t>51 679</t>
  </si>
  <si>
    <t>VII.RESULTAT COURANT</t>
  </si>
  <si>
    <t>661 052</t>
  </si>
  <si>
    <t>579 425</t>
  </si>
  <si>
    <t>32.Produits non courants</t>
  </si>
  <si>
    <t>5 353</t>
  </si>
  <si>
    <t>33.Charges non courantes</t>
  </si>
  <si>
    <t>23 753</t>
  </si>
  <si>
    <t>33 907</t>
  </si>
  <si>
    <t>VIII.RESULTAT AVANT IMPOTS</t>
  </si>
  <si>
    <t>638 138</t>
  </si>
  <si>
    <t>550 871</t>
  </si>
  <si>
    <t>34.Impôts sur les résultats</t>
  </si>
  <si>
    <t>222 151</t>
  </si>
  <si>
    <t>203 822</t>
  </si>
  <si>
    <t>IX.RESULTAT NET DE L'EXERCICE</t>
  </si>
  <si>
    <t>347 049</t>
  </si>
  <si>
    <t>TOTAL PRODUITS</t>
  </si>
  <si>
    <t>2 133 791</t>
  </si>
  <si>
    <t>2 334 178</t>
  </si>
  <si>
    <t>TOTAL CHARGES</t>
  </si>
  <si>
    <t>1 717 804</t>
  </si>
  <si>
    <t>1 987 129</t>
  </si>
  <si>
    <t>RESULTAT NET DE L'EXERCICE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</si>
</sst>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3"/>
  <sheetViews>
    <sheetView topLeftCell="A54" workbookViewId="0">
      <selection activeCell="B6" sqref="B6"/>
    </sheetView>
  </sheetViews>
  <sheetFormatPr defaultRowHeight="14.4" x14ac:dyDescent="0.3"/>
  <cols>
    <col min="1" max="1" width="57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e" cm="1">
        <f t="array" ref="A13">- Actifs financiers détenus à des fins de transactions</f>
        <v>#NAME?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e" cm="1">
        <f t="array" ref="A16">- Autres Actifs financiers à la juste valeur par résultat</f>
        <v>#NAME?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7</v>
      </c>
    </row>
    <row r="21" spans="1:1" x14ac:dyDescent="0.3">
      <c r="A21" t="s">
        <v>7</v>
      </c>
    </row>
    <row r="22" spans="1:1" x14ac:dyDescent="0.3">
      <c r="A22" t="s">
        <v>16</v>
      </c>
    </row>
    <row r="23" spans="1:1" x14ac:dyDescent="0.3">
      <c r="A23" t="s">
        <v>7</v>
      </c>
    </row>
    <row r="24" spans="1:1" x14ac:dyDescent="0.3">
      <c r="A24" t="s">
        <v>7</v>
      </c>
    </row>
    <row r="25" spans="1:1" x14ac:dyDescent="0.3">
      <c r="A25" t="s">
        <v>17</v>
      </c>
    </row>
    <row r="26" spans="1:1" x14ac:dyDescent="0.3">
      <c r="A26" t="s">
        <v>7</v>
      </c>
    </row>
    <row r="27" spans="1:1" x14ac:dyDescent="0.3">
      <c r="A27" t="s">
        <v>7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7</v>
      </c>
    </row>
    <row r="31" spans="1:1" x14ac:dyDescent="0.3">
      <c r="A31" t="s">
        <v>7</v>
      </c>
    </row>
    <row r="32" spans="1:1" x14ac:dyDescent="0.3">
      <c r="A32" t="s">
        <v>20</v>
      </c>
    </row>
    <row r="33" spans="1:1" x14ac:dyDescent="0.3">
      <c r="A33" t="s">
        <v>21</v>
      </c>
    </row>
    <row r="34" spans="1:1" x14ac:dyDescent="0.3">
      <c r="A34" t="s">
        <v>22</v>
      </c>
    </row>
    <row r="35" spans="1:1" x14ac:dyDescent="0.3">
      <c r="A35" t="s">
        <v>23</v>
      </c>
    </row>
    <row r="36" spans="1:1" x14ac:dyDescent="0.3">
      <c r="A36" t="s">
        <v>24</v>
      </c>
    </row>
    <row r="37" spans="1:1" x14ac:dyDescent="0.3">
      <c r="A37" t="s">
        <v>25</v>
      </c>
    </row>
    <row r="38" spans="1:1" x14ac:dyDescent="0.3">
      <c r="A38" t="s">
        <v>26</v>
      </c>
    </row>
    <row r="39" spans="1:1" x14ac:dyDescent="0.3">
      <c r="A39" t="s">
        <v>7</v>
      </c>
    </row>
    <row r="40" spans="1:1" x14ac:dyDescent="0.3">
      <c r="A40" t="s">
        <v>7</v>
      </c>
    </row>
    <row r="41" spans="1:1" x14ac:dyDescent="0.3">
      <c r="A41" t="s">
        <v>27</v>
      </c>
    </row>
    <row r="42" spans="1:1" x14ac:dyDescent="0.3">
      <c r="A42" t="s">
        <v>28</v>
      </c>
    </row>
    <row r="43" spans="1:1" x14ac:dyDescent="0.3">
      <c r="A43" t="s">
        <v>29</v>
      </c>
    </row>
    <row r="44" spans="1:1" x14ac:dyDescent="0.3">
      <c r="A44" t="s">
        <v>30</v>
      </c>
    </row>
    <row r="45" spans="1:1" x14ac:dyDescent="0.3">
      <c r="A45" t="s">
        <v>31</v>
      </c>
    </row>
    <row r="46" spans="1:1" x14ac:dyDescent="0.3">
      <c r="A46" t="s">
        <v>32</v>
      </c>
    </row>
    <row r="47" spans="1:1" x14ac:dyDescent="0.3">
      <c r="A47" t="s">
        <v>33</v>
      </c>
    </row>
    <row r="48" spans="1:1" x14ac:dyDescent="0.3">
      <c r="A48" t="s">
        <v>34</v>
      </c>
    </row>
    <row r="49" spans="1:1" x14ac:dyDescent="0.3">
      <c r="A49" t="s">
        <v>35</v>
      </c>
    </row>
    <row r="50" spans="1:1" x14ac:dyDescent="0.3">
      <c r="A50" t="s">
        <v>36</v>
      </c>
    </row>
    <row r="51" spans="1:1" x14ac:dyDescent="0.3">
      <c r="A51" t="s">
        <v>37</v>
      </c>
    </row>
    <row r="52" spans="1:1" x14ac:dyDescent="0.3">
      <c r="A52" t="s">
        <v>38</v>
      </c>
    </row>
    <row r="53" spans="1:1" x14ac:dyDescent="0.3">
      <c r="A53" t="s">
        <v>39</v>
      </c>
    </row>
    <row r="54" spans="1:1" x14ac:dyDescent="0.3">
      <c r="A54" t="s">
        <v>7</v>
      </c>
    </row>
    <row r="55" spans="1:1" x14ac:dyDescent="0.3">
      <c r="A55" t="s">
        <v>7</v>
      </c>
    </row>
    <row r="56" spans="1:1" x14ac:dyDescent="0.3">
      <c r="A56" t="s">
        <v>40</v>
      </c>
    </row>
    <row r="57" spans="1:1" x14ac:dyDescent="0.3">
      <c r="A57" t="s">
        <v>41</v>
      </c>
    </row>
    <row r="58" spans="1:1" x14ac:dyDescent="0.3">
      <c r="A58" t="s">
        <v>42</v>
      </c>
    </row>
    <row r="59" spans="1:1" x14ac:dyDescent="0.3">
      <c r="A59" t="s">
        <v>43</v>
      </c>
    </row>
    <row r="60" spans="1:1" x14ac:dyDescent="0.3">
      <c r="A60" t="s">
        <v>7</v>
      </c>
    </row>
    <row r="61" spans="1:1" x14ac:dyDescent="0.3">
      <c r="A61" t="s">
        <v>7</v>
      </c>
    </row>
    <row r="62" spans="1:1" x14ac:dyDescent="0.3">
      <c r="A62" t="s">
        <v>44</v>
      </c>
    </row>
    <row r="63" spans="1:1" x14ac:dyDescent="0.3">
      <c r="A63" t="s">
        <v>45</v>
      </c>
    </row>
    <row r="64" spans="1:1" x14ac:dyDescent="0.3">
      <c r="A64" t="s">
        <v>46</v>
      </c>
    </row>
    <row r="65" spans="1:1" x14ac:dyDescent="0.3">
      <c r="A65" t="s">
        <v>47</v>
      </c>
    </row>
    <row r="66" spans="1:1" x14ac:dyDescent="0.3">
      <c r="A66" t="s">
        <v>48</v>
      </c>
    </row>
    <row r="67" spans="1:1" x14ac:dyDescent="0.3">
      <c r="A67" t="s">
        <v>49</v>
      </c>
    </row>
    <row r="68" spans="1:1" x14ac:dyDescent="0.3">
      <c r="A68" t="s">
        <v>50</v>
      </c>
    </row>
    <row r="69" spans="1:1" x14ac:dyDescent="0.3">
      <c r="A69" t="s">
        <v>51</v>
      </c>
    </row>
    <row r="70" spans="1:1" x14ac:dyDescent="0.3">
      <c r="A70" t="s">
        <v>51</v>
      </c>
    </row>
    <row r="71" spans="1:1" x14ac:dyDescent="0.3">
      <c r="A71" t="s">
        <v>52</v>
      </c>
    </row>
    <row r="72" spans="1:1" x14ac:dyDescent="0.3">
      <c r="A72" t="s">
        <v>53</v>
      </c>
    </row>
    <row r="73" spans="1:1" x14ac:dyDescent="0.3">
      <c r="A7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90"/>
  <sheetViews>
    <sheetView topLeftCell="A70" workbookViewId="0">
      <selection sqref="A1:A90"/>
    </sheetView>
  </sheetViews>
  <sheetFormatPr defaultRowHeight="14.4" x14ac:dyDescent="0.3"/>
  <cols>
    <col min="1" max="1" width="52.5546875" bestFit="1" customWidth="1"/>
  </cols>
  <sheetData>
    <row r="1" spans="1:1" x14ac:dyDescent="0.3">
      <c r="A1" t="s">
        <v>55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56</v>
      </c>
    </row>
    <row r="5" spans="1:1" x14ac:dyDescent="0.3">
      <c r="A5" t="s">
        <v>7</v>
      </c>
    </row>
    <row r="6" spans="1:1" x14ac:dyDescent="0.3">
      <c r="A6" t="s">
        <v>7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58</v>
      </c>
    </row>
    <row r="12" spans="1:1" x14ac:dyDescent="0.3">
      <c r="A12" t="s">
        <v>59</v>
      </c>
    </row>
    <row r="13" spans="1:1" x14ac:dyDescent="0.3">
      <c r="A13" t="s">
        <v>61</v>
      </c>
    </row>
    <row r="14" spans="1:1" x14ac:dyDescent="0.3">
      <c r="A14" t="s">
        <v>7</v>
      </c>
    </row>
    <row r="15" spans="1:1" x14ac:dyDescent="0.3">
      <c r="A15" t="s">
        <v>7</v>
      </c>
    </row>
    <row r="16" spans="1:1" x14ac:dyDescent="0.3">
      <c r="A16" t="s">
        <v>15</v>
      </c>
    </row>
    <row r="17" spans="1:1" x14ac:dyDescent="0.3">
      <c r="A17" t="s">
        <v>7</v>
      </c>
    </row>
    <row r="18" spans="1:1" x14ac:dyDescent="0.3">
      <c r="A18" t="s">
        <v>7</v>
      </c>
    </row>
    <row r="19" spans="1:1" x14ac:dyDescent="0.3">
      <c r="A19" t="s">
        <v>62</v>
      </c>
    </row>
    <row r="20" spans="1:1" x14ac:dyDescent="0.3">
      <c r="A20" t="s">
        <v>63</v>
      </c>
    </row>
    <row r="21" spans="1:1" x14ac:dyDescent="0.3">
      <c r="A21" t="s">
        <v>64</v>
      </c>
    </row>
    <row r="22" spans="1:1" x14ac:dyDescent="0.3">
      <c r="A22" t="s">
        <v>65</v>
      </c>
    </row>
    <row r="23" spans="1:1" x14ac:dyDescent="0.3">
      <c r="A23" t="s">
        <v>66</v>
      </c>
    </row>
    <row r="24" spans="1:1" x14ac:dyDescent="0.3">
      <c r="A24" t="s">
        <v>67</v>
      </c>
    </row>
    <row r="25" spans="1:1" x14ac:dyDescent="0.3">
      <c r="A25" t="s">
        <v>68</v>
      </c>
    </row>
    <row r="26" spans="1:1" x14ac:dyDescent="0.3">
      <c r="A26" t="s">
        <v>69</v>
      </c>
    </row>
    <row r="27" spans="1:1" x14ac:dyDescent="0.3">
      <c r="A27" t="s">
        <v>70</v>
      </c>
    </row>
    <row r="28" spans="1:1" x14ac:dyDescent="0.3">
      <c r="A28" t="s">
        <v>71</v>
      </c>
    </row>
    <row r="29" spans="1:1" x14ac:dyDescent="0.3">
      <c r="A29" t="s">
        <v>7</v>
      </c>
    </row>
    <row r="30" spans="1:1" x14ac:dyDescent="0.3">
      <c r="A30" t="s">
        <v>7</v>
      </c>
    </row>
    <row r="31" spans="1:1" x14ac:dyDescent="0.3">
      <c r="A31" t="s">
        <v>72</v>
      </c>
    </row>
    <row r="32" spans="1:1" x14ac:dyDescent="0.3">
      <c r="A32" t="s">
        <v>73</v>
      </c>
    </row>
    <row r="33" spans="1:1" x14ac:dyDescent="0.3">
      <c r="A33" t="s">
        <v>74</v>
      </c>
    </row>
    <row r="34" spans="1:1" x14ac:dyDescent="0.3">
      <c r="A34" t="s">
        <v>75</v>
      </c>
    </row>
    <row r="35" spans="1:1" x14ac:dyDescent="0.3">
      <c r="A35" t="s">
        <v>76</v>
      </c>
    </row>
    <row r="36" spans="1:1" x14ac:dyDescent="0.3">
      <c r="A36" t="s">
        <v>77</v>
      </c>
    </row>
    <row r="37" spans="1:1" x14ac:dyDescent="0.3">
      <c r="A37" t="s">
        <v>78</v>
      </c>
    </row>
    <row r="38" spans="1:1" x14ac:dyDescent="0.3">
      <c r="A38" t="s">
        <v>79</v>
      </c>
    </row>
    <row r="39" spans="1:1" x14ac:dyDescent="0.3">
      <c r="A39" t="s">
        <v>80</v>
      </c>
    </row>
    <row r="40" spans="1:1" x14ac:dyDescent="0.3">
      <c r="A40" t="s">
        <v>81</v>
      </c>
    </row>
    <row r="41" spans="1:1" x14ac:dyDescent="0.3">
      <c r="A41" t="s">
        <v>7</v>
      </c>
    </row>
    <row r="42" spans="1:1" x14ac:dyDescent="0.3">
      <c r="A42" t="s">
        <v>7</v>
      </c>
    </row>
    <row r="43" spans="1:1" x14ac:dyDescent="0.3">
      <c r="A43" t="s">
        <v>82</v>
      </c>
    </row>
    <row r="44" spans="1:1" x14ac:dyDescent="0.3">
      <c r="A44" t="s">
        <v>7</v>
      </c>
    </row>
    <row r="45" spans="1:1" x14ac:dyDescent="0.3">
      <c r="A45" t="s">
        <v>7</v>
      </c>
    </row>
    <row r="46" spans="1:1" x14ac:dyDescent="0.3">
      <c r="A46" t="s">
        <v>83</v>
      </c>
    </row>
    <row r="47" spans="1:1" x14ac:dyDescent="0.3">
      <c r="A47" t="s">
        <v>84</v>
      </c>
    </row>
    <row r="48" spans="1:1" x14ac:dyDescent="0.3">
      <c r="A48" t="s">
        <v>85</v>
      </c>
    </row>
    <row r="49" spans="1:1" x14ac:dyDescent="0.3">
      <c r="A49" t="s">
        <v>86</v>
      </c>
    </row>
    <row r="50" spans="1:1" x14ac:dyDescent="0.3">
      <c r="A50" t="s">
        <v>7</v>
      </c>
    </row>
    <row r="51" spans="1:1" x14ac:dyDescent="0.3">
      <c r="A51" t="s">
        <v>7</v>
      </c>
    </row>
    <row r="52" spans="1:1" x14ac:dyDescent="0.3">
      <c r="A52" t="s">
        <v>87</v>
      </c>
    </row>
    <row r="53" spans="1:1" x14ac:dyDescent="0.3">
      <c r="A53" t="s">
        <v>88</v>
      </c>
    </row>
    <row r="54" spans="1:1" x14ac:dyDescent="0.3">
      <c r="A54" t="s">
        <v>89</v>
      </c>
    </row>
    <row r="55" spans="1:1" x14ac:dyDescent="0.3">
      <c r="A55" t="s">
        <v>90</v>
      </c>
    </row>
    <row r="56" spans="1:1" x14ac:dyDescent="0.3">
      <c r="A56" t="s">
        <v>91</v>
      </c>
    </row>
    <row r="57" spans="1:1" x14ac:dyDescent="0.3">
      <c r="A57" t="s">
        <v>92</v>
      </c>
    </row>
    <row r="58" spans="1:1" x14ac:dyDescent="0.3">
      <c r="A58" t="s">
        <v>93</v>
      </c>
    </row>
    <row r="59" spans="1:1" x14ac:dyDescent="0.3">
      <c r="A59" t="s">
        <v>94</v>
      </c>
    </row>
    <row r="60" spans="1:1" x14ac:dyDescent="0.3">
      <c r="A60" t="s">
        <v>94</v>
      </c>
    </row>
    <row r="61" spans="1:1" x14ac:dyDescent="0.3">
      <c r="A61" t="s">
        <v>95</v>
      </c>
    </row>
    <row r="62" spans="1:1" x14ac:dyDescent="0.3">
      <c r="A62" t="s">
        <v>96</v>
      </c>
    </row>
    <row r="63" spans="1:1" x14ac:dyDescent="0.3">
      <c r="A63" t="s">
        <v>97</v>
      </c>
    </row>
    <row r="64" spans="1:1" x14ac:dyDescent="0.3">
      <c r="A64" t="e" cm="1">
        <f t="array" ref="A64">- Part du groupe</f>
        <v>#NAME?</v>
      </c>
    </row>
    <row r="65" spans="1:1" x14ac:dyDescent="0.3">
      <c r="A65" t="s">
        <v>98</v>
      </c>
    </row>
    <row r="66" spans="1:1" x14ac:dyDescent="0.3">
      <c r="A66" t="s">
        <v>99</v>
      </c>
    </row>
    <row r="67" spans="1:1" x14ac:dyDescent="0.3">
      <c r="A67" t="e" cm="1">
        <f t="array" ref="A67">- Part des minoritaires</f>
        <v>#NAME?</v>
      </c>
    </row>
    <row r="68" spans="1:1" x14ac:dyDescent="0.3">
      <c r="A68" t="s">
        <v>100</v>
      </c>
    </row>
    <row r="69" spans="1:1" x14ac:dyDescent="0.3">
      <c r="A69" t="s">
        <v>101</v>
      </c>
    </row>
    <row r="70" spans="1:1" x14ac:dyDescent="0.3">
      <c r="A70" t="s">
        <v>102</v>
      </c>
    </row>
    <row r="71" spans="1:1" x14ac:dyDescent="0.3">
      <c r="A71" t="s">
        <v>103</v>
      </c>
    </row>
    <row r="72" spans="1:1" x14ac:dyDescent="0.3">
      <c r="A72" t="s">
        <v>104</v>
      </c>
    </row>
    <row r="73" spans="1:1" x14ac:dyDescent="0.3">
      <c r="A73" t="e" cm="1">
        <f t="array" ref="A73">- Part du groupe</f>
        <v>#NAME?</v>
      </c>
    </row>
    <row r="74" spans="1:1" x14ac:dyDescent="0.3">
      <c r="A74" t="s">
        <v>105</v>
      </c>
    </row>
    <row r="75" spans="1:1" x14ac:dyDescent="0.3">
      <c r="A75" t="s">
        <v>106</v>
      </c>
    </row>
    <row r="76" spans="1:1" x14ac:dyDescent="0.3">
      <c r="A76" t="e" cm="1">
        <f t="array" ref="A76">- Part des minoritaires</f>
        <v>#NAME?</v>
      </c>
    </row>
    <row r="77" spans="1:1" x14ac:dyDescent="0.3">
      <c r="A77" t="s">
        <v>107</v>
      </c>
    </row>
    <row r="78" spans="1:1" x14ac:dyDescent="0.3">
      <c r="A78" t="s">
        <v>108</v>
      </c>
    </row>
    <row r="79" spans="1:1" x14ac:dyDescent="0.3">
      <c r="A79" t="s">
        <v>109</v>
      </c>
    </row>
    <row r="80" spans="1:1" x14ac:dyDescent="0.3">
      <c r="A80" t="s">
        <v>110</v>
      </c>
    </row>
    <row r="81" spans="1:1" x14ac:dyDescent="0.3">
      <c r="A81" t="s">
        <v>111</v>
      </c>
    </row>
    <row r="82" spans="1:1" x14ac:dyDescent="0.3">
      <c r="A82" t="e" cm="1">
        <f t="array" ref="A82">- Part du groupe</f>
        <v>#NAME?</v>
      </c>
    </row>
    <row r="83" spans="1:1" x14ac:dyDescent="0.3">
      <c r="A83" t="s">
        <v>112</v>
      </c>
    </row>
    <row r="84" spans="1:1" x14ac:dyDescent="0.3">
      <c r="A84" t="s">
        <v>113</v>
      </c>
    </row>
    <row r="85" spans="1:1" x14ac:dyDescent="0.3">
      <c r="A85" t="e" cm="1">
        <f t="array" ref="A85">- Part des minoritaires</f>
        <v>#NAME?</v>
      </c>
    </row>
    <row r="86" spans="1:1" x14ac:dyDescent="0.3">
      <c r="A86" t="s">
        <v>114</v>
      </c>
    </row>
    <row r="87" spans="1:1" x14ac:dyDescent="0.3">
      <c r="A87" t="s">
        <v>115</v>
      </c>
    </row>
    <row r="88" spans="1:1" x14ac:dyDescent="0.3">
      <c r="A88" t="s">
        <v>116</v>
      </c>
    </row>
    <row r="89" spans="1:1" x14ac:dyDescent="0.3">
      <c r="A89" t="s">
        <v>53</v>
      </c>
    </row>
    <row r="90" spans="1:1" x14ac:dyDescent="0.3">
      <c r="A90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111"/>
  <sheetViews>
    <sheetView topLeftCell="A91" workbookViewId="0">
      <selection activeCell="B104" sqref="B104"/>
    </sheetView>
  </sheetViews>
  <sheetFormatPr defaultRowHeight="14.4" x14ac:dyDescent="0.3"/>
  <cols>
    <col min="1" max="1" width="77.88671875" bestFit="1" customWidth="1"/>
  </cols>
  <sheetData>
    <row r="1" spans="1:1" x14ac:dyDescent="0.3">
      <c r="A1" t="s">
        <v>117</v>
      </c>
    </row>
    <row r="2" spans="1:1" x14ac:dyDescent="0.3">
      <c r="A2" t="s">
        <v>1</v>
      </c>
    </row>
    <row r="3" spans="1:1" x14ac:dyDescent="0.3">
      <c r="A3" t="s">
        <v>118</v>
      </c>
    </row>
    <row r="4" spans="1:1" x14ac:dyDescent="0.3">
      <c r="A4" t="s">
        <v>119</v>
      </c>
    </row>
    <row r="5" spans="1:1" x14ac:dyDescent="0.3">
      <c r="A5" t="s">
        <v>120</v>
      </c>
    </row>
    <row r="6" spans="1:1" x14ac:dyDescent="0.3">
      <c r="A6" t="s">
        <v>121</v>
      </c>
    </row>
    <row r="7" spans="1:1" x14ac:dyDescent="0.3">
      <c r="A7" t="s">
        <v>122</v>
      </c>
    </row>
    <row r="8" spans="1:1" x14ac:dyDescent="0.3">
      <c r="A8" t="s">
        <v>123</v>
      </c>
    </row>
    <row r="9" spans="1:1" x14ac:dyDescent="0.3">
      <c r="A9" t="s">
        <v>124</v>
      </c>
    </row>
    <row r="10" spans="1:1" x14ac:dyDescent="0.3">
      <c r="A10" t="s">
        <v>125</v>
      </c>
    </row>
    <row r="11" spans="1:1" x14ac:dyDescent="0.3">
      <c r="A11" t="s">
        <v>126</v>
      </c>
    </row>
    <row r="12" spans="1:1" x14ac:dyDescent="0.3">
      <c r="A12" t="s">
        <v>127</v>
      </c>
    </row>
    <row r="13" spans="1:1" x14ac:dyDescent="0.3">
      <c r="A13" t="e" cm="1">
        <f t="array" ref="A13">+ Commissions (Produits)</f>
        <v>#NAME?</v>
      </c>
    </row>
    <row r="14" spans="1:1" x14ac:dyDescent="0.3">
      <c r="A14" t="s">
        <v>128</v>
      </c>
    </row>
    <row r="15" spans="1:1" x14ac:dyDescent="0.3">
      <c r="A15" t="s">
        <v>129</v>
      </c>
    </row>
    <row r="16" spans="1:1" x14ac:dyDescent="0.3">
      <c r="A16" t="e" cm="1">
        <f t="array" ref="A16">- Commissions (Charges)</f>
        <v>#NAME?</v>
      </c>
    </row>
    <row r="17" spans="1:1" x14ac:dyDescent="0.3">
      <c r="A17" t="s">
        <v>130</v>
      </c>
    </row>
    <row r="18" spans="1:1" x14ac:dyDescent="0.3">
      <c r="A18" t="s">
        <v>131</v>
      </c>
    </row>
    <row r="19" spans="1:1" x14ac:dyDescent="0.3">
      <c r="A19" t="s">
        <v>132</v>
      </c>
    </row>
    <row r="20" spans="1:1" x14ac:dyDescent="0.3">
      <c r="A20" t="s">
        <v>133</v>
      </c>
    </row>
    <row r="21" spans="1:1" x14ac:dyDescent="0.3">
      <c r="A21" t="s">
        <v>134</v>
      </c>
    </row>
    <row r="22" spans="1:1" x14ac:dyDescent="0.3">
      <c r="A22" t="s">
        <v>135</v>
      </c>
    </row>
    <row r="23" spans="1:1" x14ac:dyDescent="0.3">
      <c r="A23" t="s">
        <v>7</v>
      </c>
    </row>
    <row r="24" spans="1:1" x14ac:dyDescent="0.3">
      <c r="A24" t="s">
        <v>7</v>
      </c>
    </row>
    <row r="25" spans="1:1" x14ac:dyDescent="0.3">
      <c r="A25" t="s">
        <v>136</v>
      </c>
    </row>
    <row r="26" spans="1:1" x14ac:dyDescent="0.3">
      <c r="A26" t="s">
        <v>137</v>
      </c>
    </row>
    <row r="27" spans="1:1" x14ac:dyDescent="0.3">
      <c r="A27" t="s">
        <v>138</v>
      </c>
    </row>
    <row r="28" spans="1:1" x14ac:dyDescent="0.3">
      <c r="A28" t="s">
        <v>139</v>
      </c>
    </row>
    <row r="29" spans="1:1" x14ac:dyDescent="0.3">
      <c r="A29" t="s">
        <v>140</v>
      </c>
    </row>
    <row r="30" spans="1:1" x14ac:dyDescent="0.3">
      <c r="A30" t="s">
        <v>141</v>
      </c>
    </row>
    <row r="31" spans="1:1" x14ac:dyDescent="0.3">
      <c r="A31" t="s">
        <v>142</v>
      </c>
    </row>
    <row r="32" spans="1:1" x14ac:dyDescent="0.3">
      <c r="A32" t="s">
        <v>143</v>
      </c>
    </row>
    <row r="33" spans="1:1" x14ac:dyDescent="0.3">
      <c r="A33" t="s">
        <v>144</v>
      </c>
    </row>
    <row r="34" spans="1:1" x14ac:dyDescent="0.3">
      <c r="A34" t="s">
        <v>145</v>
      </c>
    </row>
    <row r="35" spans="1:1" x14ac:dyDescent="0.3">
      <c r="A35" t="s">
        <v>7</v>
      </c>
    </row>
    <row r="36" spans="1:1" x14ac:dyDescent="0.3">
      <c r="A36" t="s">
        <v>7</v>
      </c>
    </row>
    <row r="37" spans="1:1" x14ac:dyDescent="0.3">
      <c r="A37" t="s">
        <v>146</v>
      </c>
    </row>
    <row r="38" spans="1:1" x14ac:dyDescent="0.3">
      <c r="A38" t="s">
        <v>19</v>
      </c>
    </row>
    <row r="39" spans="1:1" x14ac:dyDescent="0.3">
      <c r="A39" t="s">
        <v>7</v>
      </c>
    </row>
    <row r="40" spans="1:1" x14ac:dyDescent="0.3">
      <c r="A40" t="s">
        <v>7</v>
      </c>
    </row>
    <row r="41" spans="1:1" x14ac:dyDescent="0.3">
      <c r="A41" t="s">
        <v>147</v>
      </c>
    </row>
    <row r="42" spans="1:1" x14ac:dyDescent="0.3">
      <c r="A42" t="s">
        <v>148</v>
      </c>
    </row>
    <row r="43" spans="1:1" x14ac:dyDescent="0.3">
      <c r="A43" t="s">
        <v>7</v>
      </c>
    </row>
    <row r="44" spans="1:1" x14ac:dyDescent="0.3">
      <c r="A44" t="s">
        <v>7</v>
      </c>
    </row>
    <row r="45" spans="1:1" x14ac:dyDescent="0.3">
      <c r="A45" t="s">
        <v>149</v>
      </c>
    </row>
    <row r="46" spans="1:1" x14ac:dyDescent="0.3">
      <c r="A46">
        <v>508</v>
      </c>
    </row>
    <row r="47" spans="1:1" x14ac:dyDescent="0.3">
      <c r="A47">
        <v>280</v>
      </c>
    </row>
    <row r="48" spans="1:1" x14ac:dyDescent="0.3">
      <c r="A48" t="s">
        <v>150</v>
      </c>
    </row>
    <row r="49" spans="1:1" x14ac:dyDescent="0.3">
      <c r="A49" t="s">
        <v>151</v>
      </c>
    </row>
    <row r="50" spans="1:1" x14ac:dyDescent="0.3">
      <c r="A50" t="s">
        <v>7</v>
      </c>
    </row>
    <row r="51" spans="1:1" x14ac:dyDescent="0.3">
      <c r="A51" t="s">
        <v>7</v>
      </c>
    </row>
    <row r="52" spans="1:1" x14ac:dyDescent="0.3">
      <c r="A52" t="s">
        <v>152</v>
      </c>
    </row>
    <row r="53" spans="1:1" x14ac:dyDescent="0.3">
      <c r="A53" t="s">
        <v>153</v>
      </c>
    </row>
    <row r="54" spans="1:1" x14ac:dyDescent="0.3">
      <c r="A54" t="s">
        <v>7</v>
      </c>
    </row>
    <row r="55" spans="1:1" x14ac:dyDescent="0.3">
      <c r="A55" t="s">
        <v>7</v>
      </c>
    </row>
    <row r="56" spans="1:1" x14ac:dyDescent="0.3">
      <c r="A56" t="s">
        <v>154</v>
      </c>
    </row>
    <row r="57" spans="1:1" x14ac:dyDescent="0.3">
      <c r="A57" t="s">
        <v>7</v>
      </c>
    </row>
    <row r="58" spans="1:1" x14ac:dyDescent="0.3">
      <c r="A58" t="s">
        <v>7</v>
      </c>
    </row>
    <row r="59" spans="1:1" x14ac:dyDescent="0.3">
      <c r="A59" t="e" cm="1">
        <f t="array" ref="A59">+ Produits des Autres activités</f>
        <v>#NAME?</v>
      </c>
    </row>
    <row r="60" spans="1:1" x14ac:dyDescent="0.3">
      <c r="A60" t="s">
        <v>155</v>
      </c>
    </row>
    <row r="61" spans="1:1" x14ac:dyDescent="0.3">
      <c r="A61" t="s">
        <v>156</v>
      </c>
    </row>
    <row r="62" spans="1:1" x14ac:dyDescent="0.3">
      <c r="A62" t="e" cm="1">
        <f t="array" ref="A62">- Charges des Autres activités</f>
        <v>#NAME?</v>
      </c>
    </row>
    <row r="63" spans="1:1" x14ac:dyDescent="0.3">
      <c r="A63">
        <v>72</v>
      </c>
    </row>
    <row r="64" spans="1:1" x14ac:dyDescent="0.3">
      <c r="A64" t="s">
        <v>157</v>
      </c>
    </row>
    <row r="65" spans="1:1" x14ac:dyDescent="0.3">
      <c r="A65" t="s">
        <v>158</v>
      </c>
    </row>
    <row r="66" spans="1:1" x14ac:dyDescent="0.3">
      <c r="A66" t="s">
        <v>159</v>
      </c>
    </row>
    <row r="67" spans="1:1" x14ac:dyDescent="0.3">
      <c r="A67" t="s">
        <v>160</v>
      </c>
    </row>
    <row r="68" spans="1:1" x14ac:dyDescent="0.3">
      <c r="A68" t="s">
        <v>161</v>
      </c>
    </row>
    <row r="69" spans="1:1" x14ac:dyDescent="0.3">
      <c r="A69" t="s">
        <v>162</v>
      </c>
    </row>
    <row r="70" spans="1:1" x14ac:dyDescent="0.3">
      <c r="A70" t="s">
        <v>163</v>
      </c>
    </row>
    <row r="71" spans="1:1" x14ac:dyDescent="0.3">
      <c r="A71" t="e" cm="1">
        <f t="array" ref="A71">- Dotations aux amortissements et aux dépréciations des immobilisations incorporelles et</f>
        <v>#NAME?</v>
      </c>
    </row>
    <row r="72" spans="1:1" x14ac:dyDescent="0.3">
      <c r="A72" t="s">
        <v>164</v>
      </c>
    </row>
    <row r="73" spans="1:1" x14ac:dyDescent="0.3">
      <c r="A73" t="s">
        <v>165</v>
      </c>
    </row>
    <row r="74" spans="1:1" x14ac:dyDescent="0.3">
      <c r="A74" t="s">
        <v>166</v>
      </c>
    </row>
    <row r="75" spans="1:1" x14ac:dyDescent="0.3">
      <c r="A75" t="s">
        <v>167</v>
      </c>
    </row>
    <row r="76" spans="1:1" x14ac:dyDescent="0.3">
      <c r="A76" t="s">
        <v>168</v>
      </c>
    </row>
    <row r="77" spans="1:1" x14ac:dyDescent="0.3">
      <c r="A77" t="s">
        <v>169</v>
      </c>
    </row>
    <row r="78" spans="1:1" x14ac:dyDescent="0.3">
      <c r="A78" t="e" cm="1">
        <f t="array" ref="A78">- Coût du risque de crédit</f>
        <v>#NAME?</v>
      </c>
    </row>
    <row r="79" spans="1:1" x14ac:dyDescent="0.3">
      <c r="A79" t="s">
        <v>170</v>
      </c>
    </row>
    <row r="80" spans="1:1" x14ac:dyDescent="0.3">
      <c r="A80" t="s">
        <v>171</v>
      </c>
    </row>
    <row r="81" spans="1:1" x14ac:dyDescent="0.3">
      <c r="A81" t="s">
        <v>172</v>
      </c>
    </row>
    <row r="82" spans="1:1" x14ac:dyDescent="0.3">
      <c r="A82" t="s">
        <v>173</v>
      </c>
    </row>
    <row r="83" spans="1:1" x14ac:dyDescent="0.3">
      <c r="A83" t="s">
        <v>174</v>
      </c>
    </row>
    <row r="84" spans="1:1" x14ac:dyDescent="0.3">
      <c r="A84" t="s">
        <v>175</v>
      </c>
    </row>
    <row r="85" spans="1:1" x14ac:dyDescent="0.3">
      <c r="A85" t="s">
        <v>176</v>
      </c>
    </row>
    <row r="86" spans="1:1" x14ac:dyDescent="0.3">
      <c r="A86" t="s">
        <v>177</v>
      </c>
    </row>
    <row r="87" spans="1:1" x14ac:dyDescent="0.3">
      <c r="A87" t="s">
        <v>178</v>
      </c>
    </row>
    <row r="88" spans="1:1" x14ac:dyDescent="0.3">
      <c r="A88" t="s">
        <v>179</v>
      </c>
    </row>
    <row r="89" spans="1:1" x14ac:dyDescent="0.3">
      <c r="A89">
        <v>1</v>
      </c>
    </row>
    <row r="90" spans="1:1" x14ac:dyDescent="0.3">
      <c r="A90">
        <v>248</v>
      </c>
    </row>
    <row r="91" spans="1:1" x14ac:dyDescent="0.3">
      <c r="A91" t="s">
        <v>180</v>
      </c>
    </row>
    <row r="92" spans="1:1" x14ac:dyDescent="0.3">
      <c r="A92" t="s">
        <v>7</v>
      </c>
    </row>
    <row r="93" spans="1:1" x14ac:dyDescent="0.3">
      <c r="A93" t="s">
        <v>7</v>
      </c>
    </row>
    <row r="94" spans="1:1" x14ac:dyDescent="0.3">
      <c r="A94" t="s">
        <v>181</v>
      </c>
    </row>
    <row r="95" spans="1:1" x14ac:dyDescent="0.3">
      <c r="A95" t="s">
        <v>182</v>
      </c>
    </row>
    <row r="96" spans="1:1" x14ac:dyDescent="0.3">
      <c r="A96" t="s">
        <v>183</v>
      </c>
    </row>
    <row r="97" spans="1:1" x14ac:dyDescent="0.3">
      <c r="A97" t="e" cm="1">
        <f t="array" ref="A97">- Impôts sur les résultats</f>
        <v>#NAME?</v>
      </c>
    </row>
    <row r="98" spans="1:1" x14ac:dyDescent="0.3">
      <c r="A98" t="s">
        <v>184</v>
      </c>
    </row>
    <row r="99" spans="1:1" x14ac:dyDescent="0.3">
      <c r="A99" t="s">
        <v>185</v>
      </c>
    </row>
    <row r="100" spans="1:1" x14ac:dyDescent="0.3">
      <c r="A100" t="s">
        <v>186</v>
      </c>
    </row>
    <row r="101" spans="1:1" x14ac:dyDescent="0.3">
      <c r="A101" t="s">
        <v>7</v>
      </c>
    </row>
    <row r="102" spans="1:1" x14ac:dyDescent="0.3">
      <c r="A102" t="s">
        <v>7</v>
      </c>
    </row>
    <row r="103" spans="1:1" x14ac:dyDescent="0.3">
      <c r="A103" t="s">
        <v>187</v>
      </c>
    </row>
    <row r="104" spans="1:1" x14ac:dyDescent="0.3">
      <c r="A104" t="s">
        <v>110</v>
      </c>
    </row>
    <row r="105" spans="1:1" x14ac:dyDescent="0.3">
      <c r="A105" t="s">
        <v>188</v>
      </c>
    </row>
    <row r="106" spans="1:1" x14ac:dyDescent="0.3">
      <c r="A106" t="s">
        <v>189</v>
      </c>
    </row>
    <row r="107" spans="1:1" x14ac:dyDescent="0.3">
      <c r="A107" t="s">
        <v>190</v>
      </c>
    </row>
    <row r="108" spans="1:1" x14ac:dyDescent="0.3">
      <c r="A108" t="s">
        <v>191</v>
      </c>
    </row>
    <row r="109" spans="1:1" x14ac:dyDescent="0.3">
      <c r="A109" t="s">
        <v>192</v>
      </c>
    </row>
    <row r="110" spans="1:1" x14ac:dyDescent="0.3">
      <c r="A110" t="s">
        <v>112</v>
      </c>
    </row>
    <row r="111" spans="1:1" x14ac:dyDescent="0.3">
      <c r="A111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96"/>
  <sheetViews>
    <sheetView topLeftCell="A79" workbookViewId="0">
      <selection sqref="A1:A96"/>
    </sheetView>
  </sheetViews>
  <sheetFormatPr defaultRowHeight="14.4" x14ac:dyDescent="0.3"/>
  <cols>
    <col min="1" max="1" width="61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194</v>
      </c>
    </row>
    <row r="5" spans="1:1" x14ac:dyDescent="0.3">
      <c r="A5" t="s">
        <v>195</v>
      </c>
    </row>
    <row r="6" spans="1:1" x14ac:dyDescent="0.3">
      <c r="A6" t="s">
        <v>196</v>
      </c>
    </row>
    <row r="7" spans="1:1" x14ac:dyDescent="0.3">
      <c r="A7" t="s">
        <v>197</v>
      </c>
    </row>
    <row r="8" spans="1:1" x14ac:dyDescent="0.3">
      <c r="A8" t="s">
        <v>198</v>
      </c>
    </row>
    <row r="9" spans="1:1" x14ac:dyDescent="0.3">
      <c r="A9" t="s">
        <v>199</v>
      </c>
    </row>
    <row r="10" spans="1:1" x14ac:dyDescent="0.3">
      <c r="A10" t="s">
        <v>200</v>
      </c>
    </row>
    <row r="11" spans="1:1" x14ac:dyDescent="0.3">
      <c r="A11" t="s">
        <v>201</v>
      </c>
    </row>
    <row r="12" spans="1:1" x14ac:dyDescent="0.3">
      <c r="A12" t="s">
        <v>202</v>
      </c>
    </row>
    <row r="13" spans="1:1" x14ac:dyDescent="0.3">
      <c r="A13" t="s">
        <v>203</v>
      </c>
    </row>
    <row r="14" spans="1:1" x14ac:dyDescent="0.3">
      <c r="A14" t="s">
        <v>204</v>
      </c>
    </row>
    <row r="15" spans="1:1" x14ac:dyDescent="0.3">
      <c r="A15" t="s">
        <v>205</v>
      </c>
    </row>
    <row r="16" spans="1:1" x14ac:dyDescent="0.3">
      <c r="A16" t="s">
        <v>206</v>
      </c>
    </row>
    <row r="17" spans="1:1" x14ac:dyDescent="0.3">
      <c r="A17" t="s">
        <v>207</v>
      </c>
    </row>
    <row r="18" spans="1:1" x14ac:dyDescent="0.3">
      <c r="A18" t="s">
        <v>208</v>
      </c>
    </row>
    <row r="19" spans="1:1" x14ac:dyDescent="0.3">
      <c r="A19" t="s">
        <v>209</v>
      </c>
    </row>
    <row r="20" spans="1:1" x14ac:dyDescent="0.3">
      <c r="A20" t="s">
        <v>210</v>
      </c>
    </row>
    <row r="21" spans="1:1" x14ac:dyDescent="0.3">
      <c r="A21" t="s">
        <v>211</v>
      </c>
    </row>
    <row r="22" spans="1:1" x14ac:dyDescent="0.3">
      <c r="A22" t="s">
        <v>212</v>
      </c>
    </row>
    <row r="23" spans="1:1" x14ac:dyDescent="0.3">
      <c r="A23" t="s">
        <v>213</v>
      </c>
    </row>
    <row r="24" spans="1:1" x14ac:dyDescent="0.3">
      <c r="A24" t="s">
        <v>214</v>
      </c>
    </row>
    <row r="25" spans="1:1" x14ac:dyDescent="0.3">
      <c r="A25" t="s">
        <v>215</v>
      </c>
    </row>
    <row r="26" spans="1:1" x14ac:dyDescent="0.3">
      <c r="A26" t="s">
        <v>216</v>
      </c>
    </row>
    <row r="27" spans="1:1" x14ac:dyDescent="0.3">
      <c r="A27" t="s">
        <v>217</v>
      </c>
    </row>
    <row r="28" spans="1:1" x14ac:dyDescent="0.3">
      <c r="A28" t="s">
        <v>218</v>
      </c>
    </row>
    <row r="29" spans="1:1" x14ac:dyDescent="0.3">
      <c r="A29" t="s">
        <v>219</v>
      </c>
    </row>
    <row r="30" spans="1:1" x14ac:dyDescent="0.3">
      <c r="A30" t="s">
        <v>220</v>
      </c>
    </row>
    <row r="31" spans="1:1" x14ac:dyDescent="0.3">
      <c r="A31" t="s">
        <v>221</v>
      </c>
    </row>
    <row r="32" spans="1:1" x14ac:dyDescent="0.3">
      <c r="A32" t="s">
        <v>222</v>
      </c>
    </row>
    <row r="33" spans="1:1" x14ac:dyDescent="0.3">
      <c r="A33" t="s">
        <v>223</v>
      </c>
    </row>
    <row r="34" spans="1:1" x14ac:dyDescent="0.3">
      <c r="A34" t="s">
        <v>224</v>
      </c>
    </row>
    <row r="35" spans="1:1" x14ac:dyDescent="0.3">
      <c r="A35" t="s">
        <v>225</v>
      </c>
    </row>
    <row r="36" spans="1:1" x14ac:dyDescent="0.3">
      <c r="A36" t="s">
        <v>226</v>
      </c>
    </row>
    <row r="37" spans="1:1" x14ac:dyDescent="0.3">
      <c r="A37" t="s">
        <v>227</v>
      </c>
    </row>
    <row r="38" spans="1:1" x14ac:dyDescent="0.3">
      <c r="A38" t="s">
        <v>228</v>
      </c>
    </row>
    <row r="39" spans="1:1" x14ac:dyDescent="0.3">
      <c r="A39" t="s">
        <v>229</v>
      </c>
    </row>
    <row r="40" spans="1:1" x14ac:dyDescent="0.3">
      <c r="A40" t="s">
        <v>230</v>
      </c>
    </row>
    <row r="41" spans="1:1" x14ac:dyDescent="0.3">
      <c r="A41" t="s">
        <v>231</v>
      </c>
    </row>
    <row r="42" spans="1:1" x14ac:dyDescent="0.3">
      <c r="A42" t="s">
        <v>232</v>
      </c>
    </row>
    <row r="43" spans="1:1" x14ac:dyDescent="0.3">
      <c r="A43" t="s">
        <v>233</v>
      </c>
    </row>
    <row r="44" spans="1:1" x14ac:dyDescent="0.3">
      <c r="A44" t="s">
        <v>7</v>
      </c>
    </row>
    <row r="45" spans="1:1" x14ac:dyDescent="0.3">
      <c r="A45" t="s">
        <v>7</v>
      </c>
    </row>
    <row r="46" spans="1:1" x14ac:dyDescent="0.3">
      <c r="A46" t="s">
        <v>234</v>
      </c>
    </row>
    <row r="47" spans="1:1" x14ac:dyDescent="0.3">
      <c r="A47" t="s">
        <v>235</v>
      </c>
    </row>
    <row r="48" spans="1:1" x14ac:dyDescent="0.3">
      <c r="A48" t="s">
        <v>236</v>
      </c>
    </row>
    <row r="49" spans="1:1" x14ac:dyDescent="0.3">
      <c r="A49" t="s">
        <v>237</v>
      </c>
    </row>
    <row r="50" spans="1:1" x14ac:dyDescent="0.3">
      <c r="A50" t="s">
        <v>238</v>
      </c>
    </row>
    <row r="51" spans="1:1" x14ac:dyDescent="0.3">
      <c r="A51" t="s">
        <v>239</v>
      </c>
    </row>
    <row r="52" spans="1:1" x14ac:dyDescent="0.3">
      <c r="A52" t="s">
        <v>240</v>
      </c>
    </row>
    <row r="53" spans="1:1" x14ac:dyDescent="0.3">
      <c r="A53" t="s">
        <v>241</v>
      </c>
    </row>
    <row r="54" spans="1:1" x14ac:dyDescent="0.3">
      <c r="A54" t="s">
        <v>242</v>
      </c>
    </row>
    <row r="55" spans="1:1" x14ac:dyDescent="0.3">
      <c r="A55" t="s">
        <v>227</v>
      </c>
    </row>
    <row r="56" spans="1:1" x14ac:dyDescent="0.3">
      <c r="A56" t="s">
        <v>241</v>
      </c>
    </row>
    <row r="57" spans="1:1" x14ac:dyDescent="0.3">
      <c r="A57" t="s">
        <v>242</v>
      </c>
    </row>
    <row r="58" spans="1:1" x14ac:dyDescent="0.3">
      <c r="A58" t="s">
        <v>230</v>
      </c>
    </row>
    <row r="59" spans="1:1" x14ac:dyDescent="0.3">
      <c r="A59" t="s">
        <v>7</v>
      </c>
    </row>
    <row r="60" spans="1:1" x14ac:dyDescent="0.3">
      <c r="A60" t="s">
        <v>7</v>
      </c>
    </row>
    <row r="61" spans="1:1" x14ac:dyDescent="0.3">
      <c r="A61" t="s">
        <v>233</v>
      </c>
    </row>
    <row r="62" spans="1:1" x14ac:dyDescent="0.3">
      <c r="A62" t="s">
        <v>7</v>
      </c>
    </row>
    <row r="63" spans="1:1" x14ac:dyDescent="0.3">
      <c r="A63" t="s">
        <v>7</v>
      </c>
    </row>
    <row r="64" spans="1:1" x14ac:dyDescent="0.3">
      <c r="A64" t="s">
        <v>243</v>
      </c>
    </row>
    <row r="65" spans="1:1" x14ac:dyDescent="0.3">
      <c r="A65" t="s">
        <v>244</v>
      </c>
    </row>
    <row r="66" spans="1:1" x14ac:dyDescent="0.3">
      <c r="A66" t="s">
        <v>245</v>
      </c>
    </row>
    <row r="67" spans="1:1" x14ac:dyDescent="0.3">
      <c r="A67" t="s">
        <v>246</v>
      </c>
    </row>
    <row r="68" spans="1:1" x14ac:dyDescent="0.3">
      <c r="A68" t="s">
        <v>247</v>
      </c>
    </row>
    <row r="69" spans="1:1" x14ac:dyDescent="0.3">
      <c r="A69" t="s">
        <v>248</v>
      </c>
    </row>
    <row r="70" spans="1:1" x14ac:dyDescent="0.3">
      <c r="A70" t="s">
        <v>249</v>
      </c>
    </row>
    <row r="71" spans="1:1" x14ac:dyDescent="0.3">
      <c r="A71" t="s">
        <v>250</v>
      </c>
    </row>
    <row r="72" spans="1:1" x14ac:dyDescent="0.3">
      <c r="A72" t="s">
        <v>251</v>
      </c>
    </row>
    <row r="73" spans="1:1" x14ac:dyDescent="0.3">
      <c r="A73" t="s">
        <v>252</v>
      </c>
    </row>
    <row r="74" spans="1:1" x14ac:dyDescent="0.3">
      <c r="A74" t="s">
        <v>7</v>
      </c>
    </row>
    <row r="75" spans="1:1" x14ac:dyDescent="0.3">
      <c r="A75" t="s">
        <v>7</v>
      </c>
    </row>
    <row r="76" spans="1:1" x14ac:dyDescent="0.3">
      <c r="A76" t="s">
        <v>253</v>
      </c>
    </row>
    <row r="77" spans="1:1" x14ac:dyDescent="0.3">
      <c r="A77" t="s">
        <v>7</v>
      </c>
    </row>
    <row r="78" spans="1:1" x14ac:dyDescent="0.3">
      <c r="A78" t="s">
        <v>7</v>
      </c>
    </row>
    <row r="79" spans="1:1" x14ac:dyDescent="0.3">
      <c r="A79" t="s">
        <v>254</v>
      </c>
    </row>
    <row r="80" spans="1:1" x14ac:dyDescent="0.3">
      <c r="A80" t="s">
        <v>7</v>
      </c>
    </row>
    <row r="81" spans="1:1" x14ac:dyDescent="0.3">
      <c r="A81" t="s">
        <v>7</v>
      </c>
    </row>
    <row r="82" spans="1:1" x14ac:dyDescent="0.3">
      <c r="A82" t="s">
        <v>255</v>
      </c>
    </row>
    <row r="83" spans="1:1" x14ac:dyDescent="0.3">
      <c r="A83" t="s">
        <v>7</v>
      </c>
    </row>
    <row r="84" spans="1:1" x14ac:dyDescent="0.3">
      <c r="A84" t="s">
        <v>7</v>
      </c>
    </row>
    <row r="85" spans="1:1" x14ac:dyDescent="0.3">
      <c r="A85" t="s">
        <v>256</v>
      </c>
    </row>
    <row r="86" spans="1:1" x14ac:dyDescent="0.3">
      <c r="A86" t="s">
        <v>7</v>
      </c>
    </row>
    <row r="87" spans="1:1" x14ac:dyDescent="0.3">
      <c r="A87" t="s">
        <v>7</v>
      </c>
    </row>
    <row r="88" spans="1:1" x14ac:dyDescent="0.3">
      <c r="A88" t="s">
        <v>47</v>
      </c>
    </row>
    <row r="89" spans="1:1" x14ac:dyDescent="0.3">
      <c r="A89" t="s">
        <v>257</v>
      </c>
    </row>
    <row r="90" spans="1:1" x14ac:dyDescent="0.3">
      <c r="A90" t="s">
        <v>258</v>
      </c>
    </row>
    <row r="91" spans="1:1" x14ac:dyDescent="0.3">
      <c r="A91" t="s">
        <v>44</v>
      </c>
    </row>
    <row r="92" spans="1:1" x14ac:dyDescent="0.3">
      <c r="A92" t="s">
        <v>259</v>
      </c>
    </row>
    <row r="93" spans="1:1" x14ac:dyDescent="0.3">
      <c r="A93" t="s">
        <v>260</v>
      </c>
    </row>
    <row r="94" spans="1:1" x14ac:dyDescent="0.3">
      <c r="A94" t="s">
        <v>261</v>
      </c>
    </row>
    <row r="95" spans="1:1" x14ac:dyDescent="0.3">
      <c r="A95" t="s">
        <v>262</v>
      </c>
    </row>
    <row r="96" spans="1:1" x14ac:dyDescent="0.3">
      <c r="A96" t="s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87"/>
  <sheetViews>
    <sheetView topLeftCell="A67" workbookViewId="0">
      <selection sqref="A1:A87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55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264</v>
      </c>
    </row>
    <row r="5" spans="1:1" x14ac:dyDescent="0.3">
      <c r="A5" t="s">
        <v>7</v>
      </c>
    </row>
    <row r="6" spans="1:1" x14ac:dyDescent="0.3">
      <c r="A6" t="s">
        <v>7</v>
      </c>
    </row>
    <row r="7" spans="1:1" x14ac:dyDescent="0.3">
      <c r="A7" t="s">
        <v>62</v>
      </c>
    </row>
    <row r="8" spans="1:1" x14ac:dyDescent="0.3">
      <c r="A8" t="s">
        <v>265</v>
      </c>
    </row>
    <row r="9" spans="1:1" x14ac:dyDescent="0.3">
      <c r="A9" t="s">
        <v>266</v>
      </c>
    </row>
    <row r="10" spans="1:1" x14ac:dyDescent="0.3">
      <c r="A10" t="s">
        <v>200</v>
      </c>
    </row>
    <row r="11" spans="1:1" x14ac:dyDescent="0.3">
      <c r="A11" t="s">
        <v>267</v>
      </c>
    </row>
    <row r="12" spans="1:1" x14ac:dyDescent="0.3">
      <c r="A12" t="s">
        <v>268</v>
      </c>
    </row>
    <row r="13" spans="1:1" x14ac:dyDescent="0.3">
      <c r="A13" t="s">
        <v>203</v>
      </c>
    </row>
    <row r="14" spans="1:1" x14ac:dyDescent="0.3">
      <c r="A14" t="s">
        <v>269</v>
      </c>
    </row>
    <row r="15" spans="1:1" x14ac:dyDescent="0.3">
      <c r="A15" t="s">
        <v>270</v>
      </c>
    </row>
    <row r="16" spans="1:1" x14ac:dyDescent="0.3">
      <c r="A16" t="s">
        <v>271</v>
      </c>
    </row>
    <row r="17" spans="1:1" x14ac:dyDescent="0.3">
      <c r="A17" t="s">
        <v>272</v>
      </c>
    </row>
    <row r="18" spans="1:1" x14ac:dyDescent="0.3">
      <c r="A18" t="s">
        <v>273</v>
      </c>
    </row>
    <row r="19" spans="1:1" x14ac:dyDescent="0.3">
      <c r="A19" t="s">
        <v>274</v>
      </c>
    </row>
    <row r="20" spans="1:1" x14ac:dyDescent="0.3">
      <c r="A20" t="s">
        <v>275</v>
      </c>
    </row>
    <row r="21" spans="1:1" x14ac:dyDescent="0.3">
      <c r="A21" t="s">
        <v>276</v>
      </c>
    </row>
    <row r="22" spans="1:1" x14ac:dyDescent="0.3">
      <c r="A22" t="s">
        <v>277</v>
      </c>
    </row>
    <row r="23" spans="1:1" x14ac:dyDescent="0.3">
      <c r="A23" t="s">
        <v>278</v>
      </c>
    </row>
    <row r="24" spans="1:1" x14ac:dyDescent="0.3">
      <c r="A24" t="s">
        <v>279</v>
      </c>
    </row>
    <row r="25" spans="1:1" x14ac:dyDescent="0.3">
      <c r="A25" t="s">
        <v>280</v>
      </c>
    </row>
    <row r="26" spans="1:1" x14ac:dyDescent="0.3">
      <c r="A26" t="s">
        <v>281</v>
      </c>
    </row>
    <row r="27" spans="1:1" x14ac:dyDescent="0.3">
      <c r="A27" t="s">
        <v>282</v>
      </c>
    </row>
    <row r="28" spans="1:1" x14ac:dyDescent="0.3">
      <c r="A28" t="s">
        <v>283</v>
      </c>
    </row>
    <row r="29" spans="1:1" x14ac:dyDescent="0.3">
      <c r="A29" t="s">
        <v>284</v>
      </c>
    </row>
    <row r="30" spans="1:1" x14ac:dyDescent="0.3">
      <c r="A30" t="s">
        <v>285</v>
      </c>
    </row>
    <row r="31" spans="1:1" x14ac:dyDescent="0.3">
      <c r="A31" t="s">
        <v>286</v>
      </c>
    </row>
    <row r="32" spans="1:1" x14ac:dyDescent="0.3">
      <c r="A32" t="s">
        <v>287</v>
      </c>
    </row>
    <row r="33" spans="1:1" x14ac:dyDescent="0.3">
      <c r="A33" t="s">
        <v>288</v>
      </c>
    </row>
    <row r="34" spans="1:1" x14ac:dyDescent="0.3">
      <c r="A34" t="s">
        <v>68</v>
      </c>
    </row>
    <row r="35" spans="1:1" x14ac:dyDescent="0.3">
      <c r="A35" t="s">
        <v>289</v>
      </c>
    </row>
    <row r="36" spans="1:1" x14ac:dyDescent="0.3">
      <c r="A36" t="s">
        <v>290</v>
      </c>
    </row>
    <row r="37" spans="1:1" x14ac:dyDescent="0.3">
      <c r="A37" t="s">
        <v>291</v>
      </c>
    </row>
    <row r="38" spans="1:1" x14ac:dyDescent="0.3">
      <c r="A38" t="s">
        <v>289</v>
      </c>
    </row>
    <row r="39" spans="1:1" x14ac:dyDescent="0.3">
      <c r="A39" t="s">
        <v>290</v>
      </c>
    </row>
    <row r="40" spans="1:1" x14ac:dyDescent="0.3">
      <c r="A40" t="s">
        <v>292</v>
      </c>
    </row>
    <row r="41" spans="1:1" x14ac:dyDescent="0.3">
      <c r="A41" t="s">
        <v>7</v>
      </c>
    </row>
    <row r="42" spans="1:1" x14ac:dyDescent="0.3">
      <c r="A42" t="s">
        <v>7</v>
      </c>
    </row>
    <row r="43" spans="1:1" x14ac:dyDescent="0.3">
      <c r="A43" t="s">
        <v>293</v>
      </c>
    </row>
    <row r="44" spans="1:1" x14ac:dyDescent="0.3">
      <c r="A44" t="s">
        <v>7</v>
      </c>
    </row>
    <row r="45" spans="1:1" x14ac:dyDescent="0.3">
      <c r="A45" t="s">
        <v>7</v>
      </c>
    </row>
    <row r="46" spans="1:1" x14ac:dyDescent="0.3">
      <c r="A46" t="s">
        <v>294</v>
      </c>
    </row>
    <row r="47" spans="1:1" x14ac:dyDescent="0.3">
      <c r="A47" t="s">
        <v>295</v>
      </c>
    </row>
    <row r="48" spans="1:1" x14ac:dyDescent="0.3">
      <c r="A48" t="s">
        <v>296</v>
      </c>
    </row>
    <row r="49" spans="1:1" x14ac:dyDescent="0.3">
      <c r="A49" t="s">
        <v>297</v>
      </c>
    </row>
    <row r="50" spans="1:1" x14ac:dyDescent="0.3">
      <c r="A50" t="s">
        <v>298</v>
      </c>
    </row>
    <row r="51" spans="1:1" x14ac:dyDescent="0.3">
      <c r="A51" t="s">
        <v>299</v>
      </c>
    </row>
    <row r="52" spans="1:1" x14ac:dyDescent="0.3">
      <c r="A52" t="s">
        <v>300</v>
      </c>
    </row>
    <row r="53" spans="1:1" x14ac:dyDescent="0.3">
      <c r="A53" t="s">
        <v>7</v>
      </c>
    </row>
    <row r="54" spans="1:1" x14ac:dyDescent="0.3">
      <c r="A54" t="s">
        <v>7</v>
      </c>
    </row>
    <row r="55" spans="1:1" x14ac:dyDescent="0.3">
      <c r="A55" t="s">
        <v>301</v>
      </c>
    </row>
    <row r="56" spans="1:1" x14ac:dyDescent="0.3">
      <c r="A56" t="s">
        <v>7</v>
      </c>
    </row>
    <row r="57" spans="1:1" x14ac:dyDescent="0.3">
      <c r="A57" t="s">
        <v>7</v>
      </c>
    </row>
    <row r="58" spans="1:1" x14ac:dyDescent="0.3">
      <c r="A58" t="s">
        <v>302</v>
      </c>
    </row>
    <row r="59" spans="1:1" x14ac:dyDescent="0.3">
      <c r="A59" t="s">
        <v>88</v>
      </c>
    </row>
    <row r="60" spans="1:1" x14ac:dyDescent="0.3">
      <c r="A60" t="s">
        <v>89</v>
      </c>
    </row>
    <row r="61" spans="1:1" x14ac:dyDescent="0.3">
      <c r="A61" t="s">
        <v>303</v>
      </c>
    </row>
    <row r="62" spans="1:1" x14ac:dyDescent="0.3">
      <c r="A62" t="s">
        <v>304</v>
      </c>
    </row>
    <row r="63" spans="1:1" x14ac:dyDescent="0.3">
      <c r="A63" t="s">
        <v>305</v>
      </c>
    </row>
    <row r="64" spans="1:1" x14ac:dyDescent="0.3">
      <c r="A64" t="s">
        <v>306</v>
      </c>
    </row>
    <row r="65" spans="1:1" x14ac:dyDescent="0.3">
      <c r="A65" t="s">
        <v>7</v>
      </c>
    </row>
    <row r="66" spans="1:1" x14ac:dyDescent="0.3">
      <c r="A66" t="s">
        <v>7</v>
      </c>
    </row>
    <row r="67" spans="1:1" x14ac:dyDescent="0.3">
      <c r="A67" t="s">
        <v>307</v>
      </c>
    </row>
    <row r="68" spans="1:1" x14ac:dyDescent="0.3">
      <c r="A68" t="s">
        <v>308</v>
      </c>
    </row>
    <row r="69" spans="1:1" x14ac:dyDescent="0.3">
      <c r="A69" t="s">
        <v>308</v>
      </c>
    </row>
    <row r="70" spans="1:1" x14ac:dyDescent="0.3">
      <c r="A70" t="s">
        <v>309</v>
      </c>
    </row>
    <row r="71" spans="1:1" x14ac:dyDescent="0.3">
      <c r="A71" t="s">
        <v>310</v>
      </c>
    </row>
    <row r="72" spans="1:1" x14ac:dyDescent="0.3">
      <c r="A72" t="s">
        <v>310</v>
      </c>
    </row>
    <row r="73" spans="1:1" x14ac:dyDescent="0.3">
      <c r="A73" t="s">
        <v>311</v>
      </c>
    </row>
    <row r="74" spans="1:1" x14ac:dyDescent="0.3">
      <c r="A74" t="s">
        <v>7</v>
      </c>
    </row>
    <row r="75" spans="1:1" x14ac:dyDescent="0.3">
      <c r="A75" t="s">
        <v>7</v>
      </c>
    </row>
    <row r="76" spans="1:1" x14ac:dyDescent="0.3">
      <c r="A76" t="s">
        <v>312</v>
      </c>
    </row>
    <row r="77" spans="1:1" x14ac:dyDescent="0.3">
      <c r="A77" t="s">
        <v>7</v>
      </c>
    </row>
    <row r="78" spans="1:1" x14ac:dyDescent="0.3">
      <c r="A78" t="s">
        <v>7</v>
      </c>
    </row>
    <row r="79" spans="1:1" x14ac:dyDescent="0.3">
      <c r="A79" t="s">
        <v>313</v>
      </c>
    </row>
    <row r="80" spans="1:1" x14ac:dyDescent="0.3">
      <c r="A80" t="s">
        <v>314</v>
      </c>
    </row>
    <row r="81" spans="1:1" x14ac:dyDescent="0.3">
      <c r="A81" t="s">
        <v>7</v>
      </c>
    </row>
    <row r="82" spans="1:1" x14ac:dyDescent="0.3">
      <c r="A82" t="s">
        <v>315</v>
      </c>
    </row>
    <row r="83" spans="1:1" x14ac:dyDescent="0.3">
      <c r="A83" t="s">
        <v>316</v>
      </c>
    </row>
    <row r="84" spans="1:1" x14ac:dyDescent="0.3">
      <c r="A84" t="s">
        <v>314</v>
      </c>
    </row>
    <row r="85" spans="1:1" x14ac:dyDescent="0.3">
      <c r="A85" t="s">
        <v>317</v>
      </c>
    </row>
    <row r="86" spans="1:1" x14ac:dyDescent="0.3">
      <c r="A86" t="s">
        <v>262</v>
      </c>
    </row>
    <row r="87" spans="1:1" x14ac:dyDescent="0.3">
      <c r="A87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42"/>
  <sheetViews>
    <sheetView tabSelected="1" topLeftCell="A121" workbookViewId="0">
      <selection activeCell="C135" sqref="C135"/>
    </sheetView>
  </sheetViews>
  <sheetFormatPr defaultRowHeight="14.4" x14ac:dyDescent="0.3"/>
  <cols>
    <col min="1" max="1" width="73.109375" bestFit="1" customWidth="1"/>
  </cols>
  <sheetData>
    <row r="1" spans="1:1" x14ac:dyDescent="0.3">
      <c r="A1" t="s">
        <v>318</v>
      </c>
    </row>
    <row r="2" spans="1:1" x14ac:dyDescent="0.3">
      <c r="A2" t="s">
        <v>1</v>
      </c>
    </row>
    <row r="3" spans="1:1" x14ac:dyDescent="0.3">
      <c r="A3" t="s">
        <v>118</v>
      </c>
    </row>
    <row r="4" spans="1:1" x14ac:dyDescent="0.3">
      <c r="A4" t="s">
        <v>319</v>
      </c>
    </row>
    <row r="5" spans="1:1" x14ac:dyDescent="0.3">
      <c r="A5" t="s">
        <v>320</v>
      </c>
    </row>
    <row r="6" spans="1:1" x14ac:dyDescent="0.3">
      <c r="A6" t="s">
        <v>321</v>
      </c>
    </row>
    <row r="7" spans="1:1" x14ac:dyDescent="0.3">
      <c r="A7" t="s">
        <v>322</v>
      </c>
    </row>
    <row r="8" spans="1:1" x14ac:dyDescent="0.3">
      <c r="A8" t="s">
        <v>323</v>
      </c>
    </row>
    <row r="9" spans="1:1" x14ac:dyDescent="0.3">
      <c r="A9" t="s">
        <v>324</v>
      </c>
    </row>
    <row r="10" spans="1:1" x14ac:dyDescent="0.3">
      <c r="A10" t="s">
        <v>325</v>
      </c>
    </row>
    <row r="11" spans="1:1" x14ac:dyDescent="0.3">
      <c r="A11" t="s">
        <v>326</v>
      </c>
    </row>
    <row r="12" spans="1:1" x14ac:dyDescent="0.3">
      <c r="A12" t="s">
        <v>327</v>
      </c>
    </row>
    <row r="13" spans="1:1" x14ac:dyDescent="0.3">
      <c r="A13" t="s">
        <v>328</v>
      </c>
    </row>
    <row r="14" spans="1:1" x14ac:dyDescent="0.3">
      <c r="A14" t="s">
        <v>329</v>
      </c>
    </row>
    <row r="15" spans="1:1" x14ac:dyDescent="0.3">
      <c r="A15" t="s">
        <v>330</v>
      </c>
    </row>
    <row r="16" spans="1:1" x14ac:dyDescent="0.3">
      <c r="A16" t="s">
        <v>331</v>
      </c>
    </row>
    <row r="17" spans="1:1" x14ac:dyDescent="0.3">
      <c r="A17" t="s">
        <v>332</v>
      </c>
    </row>
    <row r="18" spans="1:1" x14ac:dyDescent="0.3">
      <c r="A18" t="s">
        <v>333</v>
      </c>
    </row>
    <row r="19" spans="1:1" x14ac:dyDescent="0.3">
      <c r="A19" t="s">
        <v>334</v>
      </c>
    </row>
    <row r="20" spans="1:1" x14ac:dyDescent="0.3">
      <c r="A20" t="s">
        <v>7</v>
      </c>
    </row>
    <row r="21" spans="1:1" x14ac:dyDescent="0.3">
      <c r="A21" t="s">
        <v>7</v>
      </c>
    </row>
    <row r="22" spans="1:1" x14ac:dyDescent="0.3">
      <c r="A22" t="s">
        <v>335</v>
      </c>
    </row>
    <row r="23" spans="1:1" x14ac:dyDescent="0.3">
      <c r="A23" t="s">
        <v>7</v>
      </c>
    </row>
    <row r="24" spans="1:1" x14ac:dyDescent="0.3">
      <c r="A24" t="s">
        <v>7</v>
      </c>
    </row>
    <row r="25" spans="1:1" x14ac:dyDescent="0.3">
      <c r="A25" t="s">
        <v>336</v>
      </c>
    </row>
    <row r="26" spans="1:1" x14ac:dyDescent="0.3">
      <c r="A26" t="s">
        <v>7</v>
      </c>
    </row>
    <row r="27" spans="1:1" x14ac:dyDescent="0.3">
      <c r="A27" t="s">
        <v>7</v>
      </c>
    </row>
    <row r="28" spans="1:1" x14ac:dyDescent="0.3">
      <c r="A28" t="s">
        <v>337</v>
      </c>
    </row>
    <row r="29" spans="1:1" x14ac:dyDescent="0.3">
      <c r="A29" t="s">
        <v>338</v>
      </c>
    </row>
    <row r="30" spans="1:1" x14ac:dyDescent="0.3">
      <c r="A30" t="s">
        <v>339</v>
      </c>
    </row>
    <row r="31" spans="1:1" x14ac:dyDescent="0.3">
      <c r="A31" t="s">
        <v>340</v>
      </c>
    </row>
    <row r="32" spans="1:1" x14ac:dyDescent="0.3">
      <c r="A32" t="s">
        <v>341</v>
      </c>
    </row>
    <row r="33" spans="1:1" x14ac:dyDescent="0.3">
      <c r="A33" t="s">
        <v>342</v>
      </c>
    </row>
    <row r="34" spans="1:1" x14ac:dyDescent="0.3">
      <c r="A34" t="s">
        <v>343</v>
      </c>
    </row>
    <row r="35" spans="1:1" x14ac:dyDescent="0.3">
      <c r="A35">
        <v>8</v>
      </c>
    </row>
    <row r="36" spans="1:1" x14ac:dyDescent="0.3">
      <c r="A36" t="s">
        <v>7</v>
      </c>
    </row>
    <row r="37" spans="1:1" x14ac:dyDescent="0.3">
      <c r="A37" t="s">
        <v>344</v>
      </c>
    </row>
    <row r="38" spans="1:1" x14ac:dyDescent="0.3">
      <c r="A38" t="s">
        <v>345</v>
      </c>
    </row>
    <row r="39" spans="1:1" x14ac:dyDescent="0.3">
      <c r="A39" t="s">
        <v>346</v>
      </c>
    </row>
    <row r="40" spans="1:1" x14ac:dyDescent="0.3">
      <c r="A40" t="s">
        <v>347</v>
      </c>
    </row>
    <row r="41" spans="1:1" x14ac:dyDescent="0.3">
      <c r="A41" t="s">
        <v>348</v>
      </c>
    </row>
    <row r="42" spans="1:1" x14ac:dyDescent="0.3">
      <c r="A42" t="s">
        <v>349</v>
      </c>
    </row>
    <row r="43" spans="1:1" x14ac:dyDescent="0.3">
      <c r="A43" t="s">
        <v>350</v>
      </c>
    </row>
    <row r="44" spans="1:1" x14ac:dyDescent="0.3">
      <c r="A44" t="s">
        <v>351</v>
      </c>
    </row>
    <row r="45" spans="1:1" x14ac:dyDescent="0.3">
      <c r="A45" t="s">
        <v>352</v>
      </c>
    </row>
    <row r="46" spans="1:1" x14ac:dyDescent="0.3">
      <c r="A46" t="s">
        <v>353</v>
      </c>
    </row>
    <row r="47" spans="1:1" x14ac:dyDescent="0.3">
      <c r="A47" t="s">
        <v>354</v>
      </c>
    </row>
    <row r="48" spans="1:1" x14ac:dyDescent="0.3">
      <c r="A48" t="s">
        <v>355</v>
      </c>
    </row>
    <row r="49" spans="1:1" x14ac:dyDescent="0.3">
      <c r="A49" t="s">
        <v>356</v>
      </c>
    </row>
    <row r="50" spans="1:1" x14ac:dyDescent="0.3">
      <c r="A50" t="s">
        <v>7</v>
      </c>
    </row>
    <row r="51" spans="1:1" x14ac:dyDescent="0.3">
      <c r="A51" t="s">
        <v>7</v>
      </c>
    </row>
    <row r="52" spans="1:1" x14ac:dyDescent="0.3">
      <c r="A52" t="s">
        <v>357</v>
      </c>
    </row>
    <row r="53" spans="1:1" x14ac:dyDescent="0.3">
      <c r="A53" t="s">
        <v>7</v>
      </c>
    </row>
    <row r="54" spans="1:1" x14ac:dyDescent="0.3">
      <c r="A54" t="s">
        <v>7</v>
      </c>
    </row>
    <row r="55" spans="1:1" x14ac:dyDescent="0.3">
      <c r="A55" t="s">
        <v>358</v>
      </c>
    </row>
    <row r="56" spans="1:1" x14ac:dyDescent="0.3">
      <c r="A56" t="s">
        <v>7</v>
      </c>
    </row>
    <row r="57" spans="1:1" x14ac:dyDescent="0.3">
      <c r="A57" t="s">
        <v>7</v>
      </c>
    </row>
    <row r="58" spans="1:1" x14ac:dyDescent="0.3">
      <c r="A58" t="s">
        <v>359</v>
      </c>
    </row>
    <row r="59" spans="1:1" x14ac:dyDescent="0.3">
      <c r="A59" t="s">
        <v>360</v>
      </c>
    </row>
    <row r="60" spans="1:1" x14ac:dyDescent="0.3">
      <c r="A60" t="s">
        <v>361</v>
      </c>
    </row>
    <row r="61" spans="1:1" x14ac:dyDescent="0.3">
      <c r="A61" t="s">
        <v>362</v>
      </c>
    </row>
    <row r="62" spans="1:1" x14ac:dyDescent="0.3">
      <c r="A62" t="s">
        <v>363</v>
      </c>
    </row>
    <row r="63" spans="1:1" x14ac:dyDescent="0.3">
      <c r="A63" t="s">
        <v>364</v>
      </c>
    </row>
    <row r="64" spans="1:1" x14ac:dyDescent="0.3">
      <c r="A64" t="s">
        <v>365</v>
      </c>
    </row>
    <row r="65" spans="1:1" x14ac:dyDescent="0.3">
      <c r="A65" t="s">
        <v>366</v>
      </c>
    </row>
    <row r="66" spans="1:1" x14ac:dyDescent="0.3">
      <c r="A66" t="s">
        <v>367</v>
      </c>
    </row>
    <row r="67" spans="1:1" x14ac:dyDescent="0.3">
      <c r="A67" t="s">
        <v>368</v>
      </c>
    </row>
    <row r="68" spans="1:1" x14ac:dyDescent="0.3">
      <c r="A68" t="s">
        <v>369</v>
      </c>
    </row>
    <row r="69" spans="1:1" x14ac:dyDescent="0.3">
      <c r="A69" t="s">
        <v>370</v>
      </c>
    </row>
    <row r="70" spans="1:1" x14ac:dyDescent="0.3">
      <c r="A70" t="s">
        <v>371</v>
      </c>
    </row>
    <row r="71" spans="1:1" x14ac:dyDescent="0.3">
      <c r="A71" t="s">
        <v>372</v>
      </c>
    </row>
    <row r="72" spans="1:1" x14ac:dyDescent="0.3">
      <c r="A72" t="s">
        <v>373</v>
      </c>
    </row>
    <row r="73" spans="1:1" x14ac:dyDescent="0.3">
      <c r="A73" t="s">
        <v>374</v>
      </c>
    </row>
    <row r="74" spans="1:1" x14ac:dyDescent="0.3">
      <c r="A74" t="s">
        <v>375</v>
      </c>
    </row>
    <row r="75" spans="1:1" x14ac:dyDescent="0.3">
      <c r="A75" t="s">
        <v>376</v>
      </c>
    </row>
    <row r="76" spans="1:1" x14ac:dyDescent="0.3">
      <c r="A76" t="s">
        <v>377</v>
      </c>
    </row>
    <row r="77" spans="1:1" x14ac:dyDescent="0.3">
      <c r="A77" t="s">
        <v>378</v>
      </c>
    </row>
    <row r="78" spans="1:1" x14ac:dyDescent="0.3">
      <c r="A78" t="s">
        <v>379</v>
      </c>
    </row>
    <row r="79" spans="1:1" x14ac:dyDescent="0.3">
      <c r="A79" t="s">
        <v>380</v>
      </c>
    </row>
    <row r="80" spans="1:1" x14ac:dyDescent="0.3">
      <c r="A80" t="s">
        <v>381</v>
      </c>
    </row>
    <row r="81" spans="1:1" x14ac:dyDescent="0.3">
      <c r="A81" t="s">
        <v>382</v>
      </c>
    </row>
    <row r="82" spans="1:1" x14ac:dyDescent="0.3">
      <c r="A82" t="s">
        <v>383</v>
      </c>
    </row>
    <row r="83" spans="1:1" x14ac:dyDescent="0.3">
      <c r="A83" t="s">
        <v>384</v>
      </c>
    </row>
    <row r="84" spans="1:1" x14ac:dyDescent="0.3">
      <c r="A84" t="s">
        <v>385</v>
      </c>
    </row>
    <row r="85" spans="1:1" x14ac:dyDescent="0.3">
      <c r="A85" t="s">
        <v>386</v>
      </c>
    </row>
    <row r="86" spans="1:1" x14ac:dyDescent="0.3">
      <c r="A86" t="s">
        <v>387</v>
      </c>
    </row>
    <row r="87" spans="1:1" x14ac:dyDescent="0.3">
      <c r="A87" t="s">
        <v>388</v>
      </c>
    </row>
    <row r="88" spans="1:1" x14ac:dyDescent="0.3">
      <c r="A88" t="s">
        <v>389</v>
      </c>
    </row>
    <row r="89" spans="1:1" x14ac:dyDescent="0.3">
      <c r="A89" t="s">
        <v>390</v>
      </c>
    </row>
    <row r="90" spans="1:1" x14ac:dyDescent="0.3">
      <c r="A90" t="s">
        <v>391</v>
      </c>
    </row>
    <row r="91" spans="1:1" x14ac:dyDescent="0.3">
      <c r="A91" t="s">
        <v>392</v>
      </c>
    </row>
    <row r="92" spans="1:1" x14ac:dyDescent="0.3">
      <c r="A92" t="s">
        <v>393</v>
      </c>
    </row>
    <row r="93" spans="1:1" x14ac:dyDescent="0.3">
      <c r="A93" t="s">
        <v>394</v>
      </c>
    </row>
    <row r="94" spans="1:1" x14ac:dyDescent="0.3">
      <c r="A94" t="s">
        <v>395</v>
      </c>
    </row>
    <row r="95" spans="1:1" x14ac:dyDescent="0.3">
      <c r="A95" t="s">
        <v>396</v>
      </c>
    </row>
    <row r="96" spans="1:1" x14ac:dyDescent="0.3">
      <c r="A96" t="s">
        <v>397</v>
      </c>
    </row>
    <row r="97" spans="1:1" x14ac:dyDescent="0.3">
      <c r="A97" t="s">
        <v>398</v>
      </c>
    </row>
    <row r="98" spans="1:1" x14ac:dyDescent="0.3">
      <c r="A98" t="s">
        <v>399</v>
      </c>
    </row>
    <row r="99" spans="1:1" x14ac:dyDescent="0.3">
      <c r="A99" t="s">
        <v>400</v>
      </c>
    </row>
    <row r="100" spans="1:1" x14ac:dyDescent="0.3">
      <c r="A100" t="s">
        <v>401</v>
      </c>
    </row>
    <row r="101" spans="1:1" x14ac:dyDescent="0.3">
      <c r="A101" t="s">
        <v>402</v>
      </c>
    </row>
    <row r="102" spans="1:1" x14ac:dyDescent="0.3">
      <c r="A102" t="s">
        <v>403</v>
      </c>
    </row>
    <row r="103" spans="1:1" x14ac:dyDescent="0.3">
      <c r="A103" t="s">
        <v>404</v>
      </c>
    </row>
    <row r="104" spans="1:1" x14ac:dyDescent="0.3">
      <c r="A104" t="s">
        <v>405</v>
      </c>
    </row>
    <row r="105" spans="1:1" x14ac:dyDescent="0.3">
      <c r="A105" t="s">
        <v>406</v>
      </c>
    </row>
    <row r="106" spans="1:1" x14ac:dyDescent="0.3">
      <c r="A106" t="s">
        <v>407</v>
      </c>
    </row>
    <row r="107" spans="1:1" x14ac:dyDescent="0.3">
      <c r="A107" t="s">
        <v>408</v>
      </c>
    </row>
    <row r="108" spans="1:1" x14ac:dyDescent="0.3">
      <c r="A108" t="s">
        <v>409</v>
      </c>
    </row>
    <row r="109" spans="1:1" x14ac:dyDescent="0.3">
      <c r="A109" t="s">
        <v>410</v>
      </c>
    </row>
    <row r="110" spans="1:1" x14ac:dyDescent="0.3">
      <c r="A110" t="s">
        <v>411</v>
      </c>
    </row>
    <row r="111" spans="1:1" x14ac:dyDescent="0.3">
      <c r="A111" t="s">
        <v>412</v>
      </c>
    </row>
    <row r="112" spans="1:1" x14ac:dyDescent="0.3">
      <c r="A112" t="s">
        <v>413</v>
      </c>
    </row>
    <row r="113" spans="1:1" x14ac:dyDescent="0.3">
      <c r="A113" t="s">
        <v>414</v>
      </c>
    </row>
    <row r="114" spans="1:1" x14ac:dyDescent="0.3">
      <c r="A114" t="s">
        <v>415</v>
      </c>
    </row>
    <row r="115" spans="1:1" x14ac:dyDescent="0.3">
      <c r="A115">
        <v>875</v>
      </c>
    </row>
    <row r="116" spans="1:1" x14ac:dyDescent="0.3">
      <c r="A116" t="s">
        <v>416</v>
      </c>
    </row>
    <row r="117" spans="1:1" x14ac:dyDescent="0.3">
      <c r="A117" t="s">
        <v>417</v>
      </c>
    </row>
    <row r="118" spans="1:1" x14ac:dyDescent="0.3">
      <c r="A118" t="s">
        <v>418</v>
      </c>
    </row>
    <row r="119" spans="1:1" x14ac:dyDescent="0.3">
      <c r="A119" t="s">
        <v>419</v>
      </c>
    </row>
    <row r="120" spans="1:1" x14ac:dyDescent="0.3">
      <c r="A120">
        <v>839</v>
      </c>
    </row>
    <row r="121" spans="1:1" x14ac:dyDescent="0.3">
      <c r="A121" t="s">
        <v>420</v>
      </c>
    </row>
    <row r="122" spans="1:1" x14ac:dyDescent="0.3">
      <c r="A122" t="s">
        <v>421</v>
      </c>
    </row>
    <row r="123" spans="1:1" x14ac:dyDescent="0.3">
      <c r="A123" t="s">
        <v>422</v>
      </c>
    </row>
    <row r="124" spans="1:1" x14ac:dyDescent="0.3">
      <c r="A124" t="s">
        <v>423</v>
      </c>
    </row>
    <row r="125" spans="1:1" x14ac:dyDescent="0.3">
      <c r="A125" t="s">
        <v>424</v>
      </c>
    </row>
    <row r="126" spans="1:1" x14ac:dyDescent="0.3">
      <c r="A126" t="s">
        <v>425</v>
      </c>
    </row>
    <row r="127" spans="1:1" x14ac:dyDescent="0.3">
      <c r="A127" t="s">
        <v>426</v>
      </c>
    </row>
    <row r="128" spans="1:1" x14ac:dyDescent="0.3">
      <c r="A128" t="s">
        <v>427</v>
      </c>
    </row>
    <row r="129" spans="1:1" x14ac:dyDescent="0.3">
      <c r="A129" t="s">
        <v>428</v>
      </c>
    </row>
    <row r="130" spans="1:1" x14ac:dyDescent="0.3">
      <c r="A130" t="s">
        <v>429</v>
      </c>
    </row>
    <row r="131" spans="1:1" x14ac:dyDescent="0.3">
      <c r="A131" t="s">
        <v>430</v>
      </c>
    </row>
    <row r="132" spans="1:1" x14ac:dyDescent="0.3">
      <c r="A132" t="s">
        <v>316</v>
      </c>
    </row>
    <row r="133" spans="1:1" x14ac:dyDescent="0.3">
      <c r="A133" t="s">
        <v>431</v>
      </c>
    </row>
    <row r="134" spans="1:1" x14ac:dyDescent="0.3">
      <c r="A134" t="s">
        <v>432</v>
      </c>
    </row>
    <row r="135" spans="1:1" x14ac:dyDescent="0.3">
      <c r="A135" t="s">
        <v>433</v>
      </c>
    </row>
    <row r="136" spans="1:1" x14ac:dyDescent="0.3">
      <c r="A136" t="s">
        <v>434</v>
      </c>
    </row>
    <row r="137" spans="1:1" x14ac:dyDescent="0.3">
      <c r="A137" t="s">
        <v>435</v>
      </c>
    </row>
    <row r="138" spans="1:1" x14ac:dyDescent="0.3">
      <c r="A138" t="s">
        <v>436</v>
      </c>
    </row>
    <row r="139" spans="1:1" x14ac:dyDescent="0.3">
      <c r="A139" t="s">
        <v>437</v>
      </c>
    </row>
    <row r="140" spans="1:1" x14ac:dyDescent="0.3">
      <c r="A140" t="s">
        <v>438</v>
      </c>
    </row>
    <row r="141" spans="1:1" x14ac:dyDescent="0.3">
      <c r="A141" t="s">
        <v>316</v>
      </c>
    </row>
    <row r="142" spans="1:1" x14ac:dyDescent="0.3">
      <c r="A142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2026-01-29T18:20:21Z</dcterms:modified>
</cp:coreProperties>
</file>
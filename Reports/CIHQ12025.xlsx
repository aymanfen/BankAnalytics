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3CD480BC-52F7-4F2C-80D0-2BF26FEA4F4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5" l="1" a="1"/>
  <c r="A10" i="5" s="1"/>
  <c r="A13" i="5" a="1"/>
  <c r="A13" i="5" s="1"/>
  <c r="A19" i="5" a="1"/>
  <c r="A19" i="5" s="1"/>
  <c r="A25" i="5" a="1"/>
  <c r="A25" i="5" s="1"/>
  <c r="A28" i="5" a="1"/>
  <c r="A28" i="5" s="1"/>
  <c r="A37" i="5" a="1"/>
  <c r="A37" i="5" s="1"/>
  <c r="A40" i="5" a="1"/>
  <c r="A40" i="5" s="1"/>
  <c r="A43" i="5" a="1"/>
  <c r="A43" i="5" s="1"/>
  <c r="A11" i="4" a="1"/>
  <c r="A11" i="4" s="1"/>
  <c r="A14" i="4" a="1"/>
  <c r="A14" i="4" s="1"/>
  <c r="A20" i="4" a="1"/>
  <c r="A20" i="4" s="1"/>
  <c r="A26" i="4" a="1"/>
  <c r="A26" i="4" s="1"/>
  <c r="A29" i="4" a="1"/>
  <c r="A29" i="4" s="1"/>
  <c r="A38" i="4" a="1"/>
  <c r="A38" i="4" s="1"/>
  <c r="A41" i="4" a="1"/>
  <c r="A41" i="4" s="1"/>
  <c r="A44" i="4" a="1"/>
  <c r="A44" i="4" s="1"/>
  <c r="A47" i="4" a="1"/>
  <c r="A47" i="4" s="1"/>
  <c r="A56" i="4" a="1"/>
  <c r="A56" i="4" s="1"/>
  <c r="A59" i="4" a="1"/>
  <c r="A59" i="4" s="1"/>
  <c r="A62" i="4" a="1"/>
  <c r="A62" i="4" s="1"/>
  <c r="A68" i="4" a="1"/>
  <c r="A68" i="4" s="1"/>
  <c r="A71" i="4" a="1"/>
  <c r="A71" i="4" s="1"/>
  <c r="A74" i="4" a="1"/>
  <c r="A7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<sst xmlns="http://schemas.openxmlformats.org/spreadsheetml/2006/main" count="578" uniqueCount="440">
  <si>
    <t>ACTIF IFRS</t>
  </si>
  <si>
    <t>Mars 2025</t>
  </si>
  <si>
    <t>Déc. 2024</t>
  </si>
  <si>
    <t>Valeurs en caisse, Banques centrales, Trésor public, CCP</t>
  </si>
  <si>
    <t>3 549 792</t>
  </si>
  <si>
    <t>5 422 122</t>
  </si>
  <si>
    <t>Actifs financiers à la juste valeur par résultat</t>
  </si>
  <si>
    <t>14 252 842</t>
  </si>
  <si>
    <t>10 427 090</t>
  </si>
  <si>
    <t>Actifs financiers détenus à des fins de transaction</t>
  </si>
  <si>
    <t>12 509 132</t>
  </si>
  <si>
    <t>8 759 819</t>
  </si>
  <si>
    <t>Autres actifs financiers à la juste valeur par résultat</t>
  </si>
  <si>
    <t>1 743 710</t>
  </si>
  <si>
    <t>1 667 271</t>
  </si>
  <si>
    <t>Instruments dérivés de couverture</t>
  </si>
  <si>
    <t>-</t>
  </si>
  <si>
    <t>Actifs financiers à la juste valeur par capitaux propres</t>
  </si>
  <si>
    <t>805 385</t>
  </si>
  <si>
    <t>833 066</t>
  </si>
  <si>
    <t>Instruments de dette à la JV par capitaux propres recyclables</t>
  </si>
  <si>
    <t>-16 658</t>
  </si>
  <si>
    <t>44 676</t>
  </si>
  <si>
    <t>Instruments de KP à la JV par capitaux propres non recyclables</t>
  </si>
  <si>
    <t>822 043</t>
  </si>
  <si>
    <t>788 390</t>
  </si>
  <si>
    <t>Titres au coût amorti</t>
  </si>
  <si>
    <t>9 264 812</t>
  </si>
  <si>
    <t>9 061 996</t>
  </si>
  <si>
    <t>Prêts et créances sur les établissements de crédit et assimilés, au coût</t>
  </si>
  <si>
    <t>amorti</t>
  </si>
  <si>
    <t>4 700 999</t>
  </si>
  <si>
    <t>3 411 829</t>
  </si>
  <si>
    <t>Prêts et créances sur la clientèle, au coût amorti</t>
  </si>
  <si>
    <t>94 150 665</t>
  </si>
  <si>
    <t>101 209 734</t>
  </si>
  <si>
    <t>Ecart de réévaluation actif des portefeuilles couverts en taux</t>
  </si>
  <si>
    <t>Placements des activités d'assurance</t>
  </si>
  <si>
    <t>Actifs d'impôt exigible</t>
  </si>
  <si>
    <t>345 898</t>
  </si>
  <si>
    <t>824 871</t>
  </si>
  <si>
    <t>Actifs d'impôt différé</t>
  </si>
  <si>
    <t>811 467</t>
  </si>
  <si>
    <t>794 174</t>
  </si>
  <si>
    <t>Comptes de régularisation et autres actifs</t>
  </si>
  <si>
    <t>3 012 855</t>
  </si>
  <si>
    <t>2 301 086</t>
  </si>
  <si>
    <t>Actifs non courants destinés à être cédés</t>
  </si>
  <si>
    <t>Participations dans les entreprises mise en équivalence</t>
  </si>
  <si>
    <t>79 410</t>
  </si>
  <si>
    <t>63 416</t>
  </si>
  <si>
    <t>Immeubles de placement</t>
  </si>
  <si>
    <t>2 059 433</t>
  </si>
  <si>
    <t>1 922 978</t>
  </si>
  <si>
    <t>Immobilisations corporelles</t>
  </si>
  <si>
    <t>3 756 853</t>
  </si>
  <si>
    <t>3 658 718</t>
  </si>
  <si>
    <t>Immobilisations incorporelles</t>
  </si>
  <si>
    <t>749 071</t>
  </si>
  <si>
    <t>743 776</t>
  </si>
  <si>
    <t>Ecart d'acquisition</t>
  </si>
  <si>
    <t>296 531</t>
  </si>
  <si>
    <t>TOTAL ACTIF</t>
  </si>
  <si>
    <t>137 836 016</t>
  </si>
  <si>
    <t>140 971 389</t>
  </si>
  <si>
    <t>PASSIF IFRS</t>
  </si>
  <si>
    <t>Banques centrales, trésor public, service des chèques postaux</t>
  </si>
  <si>
    <t>Passifs financiers à la juste valeur par résultat</t>
  </si>
  <si>
    <t>Passifs financiers détenus à des fins de transactions</t>
  </si>
  <si>
    <t>Passifs financiers à la juste valeur par résultat sur option</t>
  </si>
  <si>
    <t>Dettes envers les établissements de crédit et assimilés</t>
  </si>
  <si>
    <t>16 119 739</t>
  </si>
  <si>
    <t>18 864 940</t>
  </si>
  <si>
    <t>Dettes envers la clientèle</t>
  </si>
  <si>
    <t>83 258 732</t>
  </si>
  <si>
    <t>84 466 604</t>
  </si>
  <si>
    <t>Titres de créance émis</t>
  </si>
  <si>
    <t>13 664 753</t>
  </si>
  <si>
    <t>13 241 997</t>
  </si>
  <si>
    <t>Ecart de réévaluation passif des portefeuilles couverts en taux</t>
  </si>
  <si>
    <t>Passifs d'impôt exigible</t>
  </si>
  <si>
    <t>244 584</t>
  </si>
  <si>
    <t>657 983</t>
  </si>
  <si>
    <t>Passifs d'impôts différés</t>
  </si>
  <si>
    <t>398 393</t>
  </si>
  <si>
    <t>369 380</t>
  </si>
  <si>
    <t>Compte de régularisation et autres passifs</t>
  </si>
  <si>
    <t>10 073 053</t>
  </si>
  <si>
    <t>8 613 057</t>
  </si>
  <si>
    <t>Dettes liées aux actifs non courants destinés à être cédés</t>
  </si>
  <si>
    <t>Provisions techniques des contrats d'assurance</t>
  </si>
  <si>
    <t>Provisions pour risques et charges</t>
  </si>
  <si>
    <t>639 473</t>
  </si>
  <si>
    <t>628 012</t>
  </si>
  <si>
    <t>Subventions et Fonds assimilés</t>
  </si>
  <si>
    <t>Dettes subordonnées et fonds spéciaux de garantie</t>
  </si>
  <si>
    <t>4 695 357</t>
  </si>
  <si>
    <t>5 691 969</t>
  </si>
  <si>
    <t>Capitaux propres</t>
  </si>
  <si>
    <t>8 741 931</t>
  </si>
  <si>
    <t>8 437 448</t>
  </si>
  <si>
    <t>Capital et réserves liées</t>
  </si>
  <si>
    <t>3 149 728</t>
  </si>
  <si>
    <t>Réserves consolidées</t>
  </si>
  <si>
    <t>5 027 529</t>
  </si>
  <si>
    <t>4 094 864</t>
  </si>
  <si>
    <t>Réserves consolidées - Part du groupe</t>
  </si>
  <si>
    <t>4 271 783</t>
  </si>
  <si>
    <t>3 392 479</t>
  </si>
  <si>
    <t>Réserves consolidées - Part des minoritaires</t>
  </si>
  <si>
    <t>755 746</t>
  </si>
  <si>
    <t>702 385</t>
  </si>
  <si>
    <t>Gains et pertes comptabilisés directement en capitaux propres</t>
  </si>
  <si>
    <t>241 347</t>
  </si>
  <si>
    <t>226 815</t>
  </si>
  <si>
    <t>Gains et pertes comptabilisés directement en capitaux propres - Part</t>
  </si>
  <si>
    <t>du groupe</t>
  </si>
  <si>
    <t>des minoritaires</t>
  </si>
  <si>
    <t>Résultat net de l'exercice</t>
  </si>
  <si>
    <t>323 327</t>
  </si>
  <si>
    <t>966 041</t>
  </si>
  <si>
    <t>Résultat net de l'exercice - Part du groupe</t>
  </si>
  <si>
    <t>298 222</t>
  </si>
  <si>
    <t>875 878</t>
  </si>
  <si>
    <t>Résultat net de l'exercice - Part des minoritaires</t>
  </si>
  <si>
    <t>25 105</t>
  </si>
  <si>
    <t>90 163</t>
  </si>
  <si>
    <t>TOTAL PASSIF</t>
  </si>
  <si>
    <t>COMPTE DE PRODUITS ET CHARGES IFRS CONSOLIDÉS</t>
  </si>
  <si>
    <t>Mars 2024</t>
  </si>
  <si>
    <t>Intérêts, rémunérations et produits assimilés</t>
  </si>
  <si>
    <t>1 279 749</t>
  </si>
  <si>
    <t>1 229 105</t>
  </si>
  <si>
    <t>Intérêts, rémunérations et charges assimilés</t>
  </si>
  <si>
    <t>-468 368</t>
  </si>
  <si>
    <t>-517 027</t>
  </si>
  <si>
    <t>MARGE D'INTÉRETS</t>
  </si>
  <si>
    <t>811 381</t>
  </si>
  <si>
    <t>712 078</t>
  </si>
  <si>
    <t>Commissions (produits)</t>
  </si>
  <si>
    <t>281 921</t>
  </si>
  <si>
    <t>206 265</t>
  </si>
  <si>
    <t>Commissions (charges)</t>
  </si>
  <si>
    <t>-163 625</t>
  </si>
  <si>
    <t>-103 618</t>
  </si>
  <si>
    <t>MARGE SUR COMMISSIONS</t>
  </si>
  <si>
    <t>118 296</t>
  </si>
  <si>
    <t>102 647</t>
  </si>
  <si>
    <t>Gains ou pertes nets résultants des couvertures de position nette</t>
  </si>
  <si>
    <t>Gains ou pertes nets sur instruments financiers à la juste valeur par</t>
  </si>
  <si>
    <t>résultat</t>
  </si>
  <si>
    <t>274 788</t>
  </si>
  <si>
    <t>219 781</t>
  </si>
  <si>
    <t>Gains ou pertes nets sur actifs/passifs de transaction</t>
  </si>
  <si>
    <t>103 681</t>
  </si>
  <si>
    <t>46 682</t>
  </si>
  <si>
    <t>Gains ou pertes nets sur autres actifs/passifs à la juste valeur par</t>
  </si>
  <si>
    <t>171 107</t>
  </si>
  <si>
    <t>173 099</t>
  </si>
  <si>
    <t>Gains ou pertes nets des instruments financiers à la juste valeur par</t>
  </si>
  <si>
    <t>capitaux propres</t>
  </si>
  <si>
    <t>Gains ou pertes nets sur instruments de dettes comptabilisés en</t>
  </si>
  <si>
    <t>capitaux propres recyclables</t>
  </si>
  <si>
    <t>Rémunération des instruments de capitaux propres comptabilisés en</t>
  </si>
  <si>
    <t>capitaux propres non recyclables(dividendes)</t>
  </si>
  <si>
    <t>Gains ou pertes nets des instruments financiers disponibles à la vente</t>
  </si>
  <si>
    <t>Gains ou pertes nets résultants de la décomptabilisation d'actifs</t>
  </si>
  <si>
    <t>financiers au coût amorti</t>
  </si>
  <si>
    <t>Gains ou pertes nets résultants du reclassement d'actifs financiers au</t>
  </si>
  <si>
    <t>coût amorti en actifs financiers à la JVR</t>
  </si>
  <si>
    <t>Gains ou pertes nets résultants du reclassement d'actifs financiers à la</t>
  </si>
  <si>
    <t>JV par KP en actifs financiers à la JVR</t>
  </si>
  <si>
    <t>Produits nets des activités d'assurance</t>
  </si>
  <si>
    <t>Produits des autres activités</t>
  </si>
  <si>
    <t>189 999</t>
  </si>
  <si>
    <t>148 075</t>
  </si>
  <si>
    <t>Charges des autres activités</t>
  </si>
  <si>
    <t>-94 358</t>
  </si>
  <si>
    <t>-59 910</t>
  </si>
  <si>
    <t>PRODUIT NET BANCAIRE</t>
  </si>
  <si>
    <t>1 300 106</t>
  </si>
  <si>
    <t>1 122 672</t>
  </si>
  <si>
    <t>Charges générales d'exploitation</t>
  </si>
  <si>
    <t>-491 231</t>
  </si>
  <si>
    <t>-443 633</t>
  </si>
  <si>
    <t>Dotations aux amortissements et aux dépréciations des immobilisations</t>
  </si>
  <si>
    <t>incorporelles et corporelles</t>
  </si>
  <si>
    <t>-57 192</t>
  </si>
  <si>
    <t>-51 456</t>
  </si>
  <si>
    <t>RÉSULTAT BRUT D'EXPLOITATION</t>
  </si>
  <si>
    <t>751 684</t>
  </si>
  <si>
    <t>627 583</t>
  </si>
  <si>
    <t>Coût du risque de crédit</t>
  </si>
  <si>
    <t>-276 374</t>
  </si>
  <si>
    <t>-274 909</t>
  </si>
  <si>
    <t>RÉSULTAT D'EXPLOITATION</t>
  </si>
  <si>
    <t>475 309</t>
  </si>
  <si>
    <t>352 673</t>
  </si>
  <si>
    <t>Quote-part du résultat net des entreprises associées et des</t>
  </si>
  <si>
    <t>coentreprises mises en équivalence</t>
  </si>
  <si>
    <t>15 994</t>
  </si>
  <si>
    <t>12 769</t>
  </si>
  <si>
    <t>Gains ou pertes nets sur autres actifs</t>
  </si>
  <si>
    <t>76 330</t>
  </si>
  <si>
    <t>-6 855</t>
  </si>
  <si>
    <t>Variations de valeurs des écarts d'acquisition</t>
  </si>
  <si>
    <t>RÉSULTAT AVANT IMPOTS</t>
  </si>
  <si>
    <t>567 633</t>
  </si>
  <si>
    <t>358 588</t>
  </si>
  <si>
    <t>Impôts sur les bénéfices</t>
  </si>
  <si>
    <t>-244 306</t>
  </si>
  <si>
    <t>-146 208</t>
  </si>
  <si>
    <t>Résultat net des d'impôts des activités arrêtées ou en cours de cession</t>
  </si>
  <si>
    <t>RÉSULTAT NET</t>
  </si>
  <si>
    <t>212 380</t>
  </si>
  <si>
    <t>Résultats Minoritaires</t>
  </si>
  <si>
    <t>12 971</t>
  </si>
  <si>
    <t>RESULTAT NET PART DU GROUPE</t>
  </si>
  <si>
    <t>199 410</t>
  </si>
  <si>
    <t>ACTIF</t>
  </si>
  <si>
    <t>Valeurs en caisse, Banques centrales, Trésor public, Service des</t>
  </si>
  <si>
    <t>chèques postaux</t>
  </si>
  <si>
    <t>2 558 068</t>
  </si>
  <si>
    <t>4 216 702</t>
  </si>
  <si>
    <t>Créances sur les établissements de crédit et assimilés</t>
  </si>
  <si>
    <t>5 202 160</t>
  </si>
  <si>
    <t>4 073 478</t>
  </si>
  <si>
    <t>2 159 066</t>
  </si>
  <si>
    <t>1 497 171</t>
  </si>
  <si>
    <t>3 043 094</t>
  </si>
  <si>
    <t>2 576 307</t>
  </si>
  <si>
    <t>Créances sur la clientèle</t>
  </si>
  <si>
    <t>68 959 078</t>
  </si>
  <si>
    <t>76 925 828</t>
  </si>
  <si>
    <t>18 127 776</t>
  </si>
  <si>
    <t>17 711 388</t>
  </si>
  <si>
    <t>- Crédits et financements participatifs à l'équipement</t>
  </si>
  <si>
    <t>11 965 526</t>
  </si>
  <si>
    <t>10 739 847</t>
  </si>
  <si>
    <t>29 009 822</t>
  </si>
  <si>
    <t>28 382 046</t>
  </si>
  <si>
    <t>9 855 954</t>
  </si>
  <si>
    <t>20 092 547</t>
  </si>
  <si>
    <t>Créances acquises par affacturage</t>
  </si>
  <si>
    <t>1 324 854</t>
  </si>
  <si>
    <t>1 542 098</t>
  </si>
  <si>
    <t>Titres de transaction et de placement</t>
  </si>
  <si>
    <t>14 156 643</t>
  </si>
  <si>
    <t>10 405 797</t>
  </si>
  <si>
    <t>6 516 761</t>
  </si>
  <si>
    <t>2 770 699</t>
  </si>
  <si>
    <t>45 692</t>
  </si>
  <si>
    <t>45 007</t>
  </si>
  <si>
    <t>7 594 189</t>
  </si>
  <si>
    <t>7 590 091</t>
  </si>
  <si>
    <t>Autres actifs</t>
  </si>
  <si>
    <t>3 806 116</t>
  </si>
  <si>
    <t>3 914 859</t>
  </si>
  <si>
    <t>Titres d'investissement</t>
  </si>
  <si>
    <t>3 219 695</t>
  </si>
  <si>
    <t>3 202 142</t>
  </si>
  <si>
    <t>6 045 118</t>
  </si>
  <si>
    <t>5 859 854</t>
  </si>
  <si>
    <t>Titres de participation et emplois assimilés</t>
  </si>
  <si>
    <t>2 379 085</t>
  </si>
  <si>
    <t>2 376 315</t>
  </si>
  <si>
    <t>1 931 026</t>
  </si>
  <si>
    <t>448 059</t>
  </si>
  <si>
    <t>445 289</t>
  </si>
  <si>
    <t>Créances subordonnées</t>
  </si>
  <si>
    <t>Dépôts d'investissement et Wakala Bil Istithmar placés</t>
  </si>
  <si>
    <t>564 988</t>
  </si>
  <si>
    <t>560 017</t>
  </si>
  <si>
    <t>Immobilisations données en crédit-bail et en location</t>
  </si>
  <si>
    <t>Immobilisations données en Ijara</t>
  </si>
  <si>
    <t>287 077</t>
  </si>
  <si>
    <t>268 520</t>
  </si>
  <si>
    <t>1 413 256</t>
  </si>
  <si>
    <t>1 416 450</t>
  </si>
  <si>
    <t>Total de l'Actif</t>
  </si>
  <si>
    <t>109 916 137</t>
  </si>
  <si>
    <t>114 762 061</t>
  </si>
  <si>
    <t>PASSIF</t>
  </si>
  <si>
    <t>Banques centrales, Trésor public, Service des chèques postaux</t>
  </si>
  <si>
    <t>9 944 633</t>
  </si>
  <si>
    <t>13 531 143</t>
  </si>
  <si>
    <t>1 671 132</t>
  </si>
  <si>
    <t>605 290</t>
  </si>
  <si>
    <t>8 273 501</t>
  </si>
  <si>
    <t>12 925 853</t>
  </si>
  <si>
    <t>Dépôts de la clientèle</t>
  </si>
  <si>
    <t>72 345 873</t>
  </si>
  <si>
    <t>73 663 349</t>
  </si>
  <si>
    <t>45 204 598</t>
  </si>
  <si>
    <t>47 924 204</t>
  </si>
  <si>
    <t>- Comptes d'épargne</t>
  </si>
  <si>
    <t>11 692 825</t>
  </si>
  <si>
    <t>11 210 309</t>
  </si>
  <si>
    <t>12 769 246</t>
  </si>
  <si>
    <t>11 944 997</t>
  </si>
  <si>
    <t>2 679 205</t>
  </si>
  <si>
    <t>2 583 839</t>
  </si>
  <si>
    <t>Dettes envers la clientèle sur produits participatifs</t>
  </si>
  <si>
    <t>7 869 237</t>
  </si>
  <si>
    <t>7 952 152</t>
  </si>
  <si>
    <t>Autres passifs</t>
  </si>
  <si>
    <t>6 086 138</t>
  </si>
  <si>
    <t>5 281 006</t>
  </si>
  <si>
    <t>2 046 487</t>
  </si>
  <si>
    <t>2 038 765</t>
  </si>
  <si>
    <t>Provisions réglementées</t>
  </si>
  <si>
    <t>Subventions, fonds publics affectés et fonds spéciaux de garantie</t>
  </si>
  <si>
    <t>Dettes subordonnées</t>
  </si>
  <si>
    <t>4 410 886</t>
  </si>
  <si>
    <t>5 410 426</t>
  </si>
  <si>
    <t>Dépôts d'investissement et Wakala Bil Istithmar reçus</t>
  </si>
  <si>
    <t>Ecarts de réévaluation</t>
  </si>
  <si>
    <t>Réserves et primes liées au capital</t>
  </si>
  <si>
    <t>2 028 708</t>
  </si>
  <si>
    <t>Capital</t>
  </si>
  <si>
    <t>- Actionnaires. Capital non versé (-)</t>
  </si>
  <si>
    <t>Report à nouveau (+/-)</t>
  </si>
  <si>
    <t>956 741</t>
  </si>
  <si>
    <t>Résultats nets en instance d'affectation (+/-)</t>
  </si>
  <si>
    <t>750 043</t>
  </si>
  <si>
    <t>Résultat net de l'exercice (+/-)</t>
  </si>
  <si>
    <t>327 663</t>
  </si>
  <si>
    <t>Total du passif</t>
  </si>
  <si>
    <t>Libellé</t>
  </si>
  <si>
    <t>PRODUITS D'EXPLOITATION BANCAIRE</t>
  </si>
  <si>
    <t>1 691 373</t>
  </si>
  <si>
    <t>1 581 500</t>
  </si>
  <si>
    <t>Intérêts, rémunérations et produits assimilés sur opérations avec les</t>
  </si>
  <si>
    <t>établissements de crédit</t>
  </si>
  <si>
    <t>31 360</t>
  </si>
  <si>
    <t>39 734</t>
  </si>
  <si>
    <t>Intérêts et produits assimilés sur opérations avec la clientèle</t>
  </si>
  <si>
    <t>858 120</t>
  </si>
  <si>
    <t>878 715</t>
  </si>
  <si>
    <t>Intérêts et produits assimilés sur titres de créance</t>
  </si>
  <si>
    <t>73 702</t>
  </si>
  <si>
    <t>85 372</t>
  </si>
  <si>
    <t>Produits sur titres de propriété (1) et certificats de Sukuks</t>
  </si>
  <si>
    <t>104 682</t>
  </si>
  <si>
    <t>97 103</t>
  </si>
  <si>
    <t>Produits sur titres de Moudaraba et Moucharaka</t>
  </si>
  <si>
    <t>Produits sur immobilisations en crédit-bail et en location</t>
  </si>
  <si>
    <t>Produits sur immobilisations données en Ijara</t>
  </si>
  <si>
    <t>Commissions sur prestations de service</t>
  </si>
  <si>
    <t>219 924</t>
  </si>
  <si>
    <t>158 431</t>
  </si>
  <si>
    <t>Autres produits bancaires</t>
  </si>
  <si>
    <t>403 586</t>
  </si>
  <si>
    <t>322 144</t>
  </si>
  <si>
    <t>Transfert de charges sur dépôts d'investissement reçus</t>
  </si>
  <si>
    <t>CHARGES D'EXPLOITATION BANCAIRE</t>
  </si>
  <si>
    <t>637 312</t>
  </si>
  <si>
    <t>623 857</t>
  </si>
  <si>
    <t>Intérêts et charges assimilées sur opérations avec les établissements</t>
  </si>
  <si>
    <t>de crédit</t>
  </si>
  <si>
    <t>66 080</t>
  </si>
  <si>
    <t>81 266</t>
  </si>
  <si>
    <t>Intérêts et charges assimilées sur opérations avec la clientèle</t>
  </si>
  <si>
    <t>216 725</t>
  </si>
  <si>
    <t>247 445</t>
  </si>
  <si>
    <t>Intérêts et charges assimilées sur titres de créance émis</t>
  </si>
  <si>
    <t>61 853</t>
  </si>
  <si>
    <t>94 337</t>
  </si>
  <si>
    <t>Charges sur titres de Moudaraba et Moucharaka</t>
  </si>
  <si>
    <t>Charges sur immobilisations en crédit-bail et en location</t>
  </si>
  <si>
    <t>Charges sur immobilisations données en Ijara</t>
  </si>
  <si>
    <t>Autres charges bancaires</t>
  </si>
  <si>
    <t>292 655</t>
  </si>
  <si>
    <t>200 809</t>
  </si>
  <si>
    <t>Transfert de produits sur dépôts d'investissement reçus</t>
  </si>
  <si>
    <t>1 054 061</t>
  </si>
  <si>
    <t>957 643</t>
  </si>
  <si>
    <t>Produits d'exploitation non bancaire</t>
  </si>
  <si>
    <t>103 937</t>
  </si>
  <si>
    <t>7 244</t>
  </si>
  <si>
    <t>Charges d'exploitation non bancaire</t>
  </si>
  <si>
    <t>CHARGES GENERALES D'EXPLOITATION</t>
  </si>
  <si>
    <t>447 931</t>
  </si>
  <si>
    <t>418 688</t>
  </si>
  <si>
    <t>Charges de personnel</t>
  </si>
  <si>
    <t>179 635</t>
  </si>
  <si>
    <t>170 696</t>
  </si>
  <si>
    <t>Impôts et taxes</t>
  </si>
  <si>
    <t>9 725</t>
  </si>
  <si>
    <t>8 691</t>
  </si>
  <si>
    <t>Charges externes</t>
  </si>
  <si>
    <t>206 425</t>
  </si>
  <si>
    <t>194 293</t>
  </si>
  <si>
    <t>Autres charges générales d'exploitation</t>
  </si>
  <si>
    <t>8 445</t>
  </si>
  <si>
    <t>7 869</t>
  </si>
  <si>
    <t>Dotations aux amortissements et aux provisions des immobilisations</t>
  </si>
  <si>
    <t>43 702</t>
  </si>
  <si>
    <t>37 139</t>
  </si>
  <si>
    <t>DOTATIONS AUX PROVISIONS ET PERTES SUR CREANCES</t>
  </si>
  <si>
    <t>IRRECOUVRABLES</t>
  </si>
  <si>
    <t>303 444</t>
  </si>
  <si>
    <t>230 333</t>
  </si>
  <si>
    <t>Dotations aux provisions pour créances et engagements par signature</t>
  </si>
  <si>
    <t>en souffrance</t>
  </si>
  <si>
    <t>265 334</t>
  </si>
  <si>
    <t>155 320</t>
  </si>
  <si>
    <t>Pertes sur créances irrécouvrables</t>
  </si>
  <si>
    <t>Autres dotations aux provisions</t>
  </si>
  <si>
    <t>37 182</t>
  </si>
  <si>
    <t>74 220</t>
  </si>
  <si>
    <t>REPRISES DE PROVISIONS ET RECUPERATIONS SUR CREANCES</t>
  </si>
  <si>
    <t>AMORTIES</t>
  </si>
  <si>
    <t>125 794</t>
  </si>
  <si>
    <t>99 043</t>
  </si>
  <si>
    <t>Reprises de provisions pour créances et engagements par signature en</t>
  </si>
  <si>
    <t>souffrance</t>
  </si>
  <si>
    <t>105 748</t>
  </si>
  <si>
    <t>78 794</t>
  </si>
  <si>
    <t>Récupérations sur créances amorties</t>
  </si>
  <si>
    <t>1 263</t>
  </si>
  <si>
    <t>3 692</t>
  </si>
  <si>
    <t>Autres reprises de provisions</t>
  </si>
  <si>
    <t>18 784</t>
  </si>
  <si>
    <t>16 557</t>
  </si>
  <si>
    <t>RESULTAT COURANT</t>
  </si>
  <si>
    <t>532 315</t>
  </si>
  <si>
    <t>414 279</t>
  </si>
  <si>
    <t>Produits non courants</t>
  </si>
  <si>
    <t>Charges non courantes</t>
  </si>
  <si>
    <t>17 799</t>
  </si>
  <si>
    <t>22 438</t>
  </si>
  <si>
    <t>RESULTAT AVANT IMPOTS</t>
  </si>
  <si>
    <t>514 516</t>
  </si>
  <si>
    <t>391 841</t>
  </si>
  <si>
    <t>Impôts sur les résultats</t>
  </si>
  <si>
    <t>186 853</t>
  </si>
  <si>
    <t>138 535</t>
  </si>
  <si>
    <t>RESULTAT NET DE L'EXERCICE</t>
  </si>
  <si>
    <t>253 306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</si>
</sst>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3"/>
  <sheetViews>
    <sheetView tabSelected="1" topLeftCell="A60" workbookViewId="0">
      <selection activeCell="A78" sqref="A78"/>
    </sheetView>
  </sheetViews>
  <sheetFormatPr defaultRowHeight="14.4" x14ac:dyDescent="0.3"/>
  <cols>
    <col min="1" max="1" width="57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16</v>
      </c>
    </row>
    <row r="40" spans="1:1" x14ac:dyDescent="0.3">
      <c r="A40" t="s">
        <v>16</v>
      </c>
    </row>
    <row r="41" spans="1:1" x14ac:dyDescent="0.3">
      <c r="A41" t="s">
        <v>37</v>
      </c>
    </row>
    <row r="42" spans="1:1" x14ac:dyDescent="0.3">
      <c r="A42" t="s">
        <v>16</v>
      </c>
    </row>
    <row r="43" spans="1:1" x14ac:dyDescent="0.3">
      <c r="A43" t="s">
        <v>16</v>
      </c>
    </row>
    <row r="44" spans="1:1" x14ac:dyDescent="0.3">
      <c r="A44" t="s">
        <v>38</v>
      </c>
    </row>
    <row r="45" spans="1:1" x14ac:dyDescent="0.3">
      <c r="A45" t="s">
        <v>39</v>
      </c>
    </row>
    <row r="46" spans="1:1" x14ac:dyDescent="0.3">
      <c r="A46" t="s">
        <v>40</v>
      </c>
    </row>
    <row r="47" spans="1:1" x14ac:dyDescent="0.3">
      <c r="A47" t="s">
        <v>41</v>
      </c>
    </row>
    <row r="48" spans="1:1" x14ac:dyDescent="0.3">
      <c r="A48" t="s">
        <v>42</v>
      </c>
    </row>
    <row r="49" spans="1:1" x14ac:dyDescent="0.3">
      <c r="A49" t="s">
        <v>43</v>
      </c>
    </row>
    <row r="50" spans="1:1" x14ac:dyDescent="0.3">
      <c r="A50" t="s">
        <v>44</v>
      </c>
    </row>
    <row r="51" spans="1:1" x14ac:dyDescent="0.3">
      <c r="A51" t="s">
        <v>45</v>
      </c>
    </row>
    <row r="52" spans="1:1" x14ac:dyDescent="0.3">
      <c r="A52" t="s">
        <v>46</v>
      </c>
    </row>
    <row r="53" spans="1:1" x14ac:dyDescent="0.3">
      <c r="A53" t="s">
        <v>47</v>
      </c>
    </row>
    <row r="54" spans="1:1" x14ac:dyDescent="0.3">
      <c r="A54" t="s">
        <v>16</v>
      </c>
    </row>
    <row r="55" spans="1:1" x14ac:dyDescent="0.3">
      <c r="A55" t="s">
        <v>16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55</v>
      </c>
    </row>
    <row r="64" spans="1:1" x14ac:dyDescent="0.3">
      <c r="A64" t="s">
        <v>56</v>
      </c>
    </row>
    <row r="65" spans="1:1" x14ac:dyDescent="0.3">
      <c r="A65" t="s">
        <v>57</v>
      </c>
    </row>
    <row r="66" spans="1:1" x14ac:dyDescent="0.3">
      <c r="A66" t="s">
        <v>58</v>
      </c>
    </row>
    <row r="67" spans="1:1" x14ac:dyDescent="0.3">
      <c r="A67" t="s">
        <v>59</v>
      </c>
    </row>
    <row r="68" spans="1:1" x14ac:dyDescent="0.3">
      <c r="A68" t="s">
        <v>60</v>
      </c>
    </row>
    <row r="69" spans="1:1" x14ac:dyDescent="0.3">
      <c r="A69" t="s">
        <v>61</v>
      </c>
    </row>
    <row r="70" spans="1:1" x14ac:dyDescent="0.3">
      <c r="A70" t="s">
        <v>61</v>
      </c>
    </row>
    <row r="71" spans="1:1" x14ac:dyDescent="0.3">
      <c r="A71" t="s">
        <v>62</v>
      </c>
    </row>
    <row r="72" spans="1:1" x14ac:dyDescent="0.3">
      <c r="A72" t="s">
        <v>63</v>
      </c>
    </row>
    <row r="73" spans="1:1" x14ac:dyDescent="0.3">
      <c r="A7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92"/>
  <sheetViews>
    <sheetView topLeftCell="A79" workbookViewId="0">
      <selection sqref="A1:A92"/>
    </sheetView>
  </sheetViews>
  <sheetFormatPr defaultRowHeight="14.4" x14ac:dyDescent="0.3"/>
  <cols>
    <col min="1" max="1" width="57.5546875" bestFit="1" customWidth="1"/>
  </cols>
  <sheetData>
    <row r="1" spans="1:1" x14ac:dyDescent="0.3">
      <c r="A1" t="s">
        <v>65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66</v>
      </c>
    </row>
    <row r="5" spans="1:1" x14ac:dyDescent="0.3">
      <c r="A5" t="s">
        <v>16</v>
      </c>
    </row>
    <row r="6" spans="1:1" x14ac:dyDescent="0.3">
      <c r="A6" t="s">
        <v>16</v>
      </c>
    </row>
    <row r="7" spans="1:1" x14ac:dyDescent="0.3">
      <c r="A7" t="s">
        <v>67</v>
      </c>
    </row>
    <row r="8" spans="1:1" x14ac:dyDescent="0.3">
      <c r="A8" t="s">
        <v>16</v>
      </c>
    </row>
    <row r="9" spans="1:1" x14ac:dyDescent="0.3">
      <c r="A9" t="s">
        <v>16</v>
      </c>
    </row>
    <row r="10" spans="1:1" x14ac:dyDescent="0.3">
      <c r="A10" t="s">
        <v>68</v>
      </c>
    </row>
    <row r="11" spans="1:1" x14ac:dyDescent="0.3">
      <c r="A11" t="s">
        <v>16</v>
      </c>
    </row>
    <row r="12" spans="1:1" x14ac:dyDescent="0.3">
      <c r="A12" t="s">
        <v>16</v>
      </c>
    </row>
    <row r="13" spans="1:1" x14ac:dyDescent="0.3">
      <c r="A13" t="s">
        <v>69</v>
      </c>
    </row>
    <row r="14" spans="1:1" x14ac:dyDescent="0.3">
      <c r="A14" t="s">
        <v>16</v>
      </c>
    </row>
    <row r="15" spans="1:1" x14ac:dyDescent="0.3">
      <c r="A15" t="s">
        <v>16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70</v>
      </c>
    </row>
    <row r="20" spans="1:1" x14ac:dyDescent="0.3">
      <c r="A20" t="s">
        <v>71</v>
      </c>
    </row>
    <row r="21" spans="1:1" x14ac:dyDescent="0.3">
      <c r="A21" t="s">
        <v>72</v>
      </c>
    </row>
    <row r="22" spans="1:1" x14ac:dyDescent="0.3">
      <c r="A22" t="s">
        <v>73</v>
      </c>
    </row>
    <row r="23" spans="1:1" x14ac:dyDescent="0.3">
      <c r="A23" t="s">
        <v>74</v>
      </c>
    </row>
    <row r="24" spans="1:1" x14ac:dyDescent="0.3">
      <c r="A24" t="s">
        <v>75</v>
      </c>
    </row>
    <row r="25" spans="1:1" x14ac:dyDescent="0.3">
      <c r="A25" t="s">
        <v>76</v>
      </c>
    </row>
    <row r="26" spans="1:1" x14ac:dyDescent="0.3">
      <c r="A26" t="s">
        <v>77</v>
      </c>
    </row>
    <row r="27" spans="1:1" x14ac:dyDescent="0.3">
      <c r="A27" t="s">
        <v>78</v>
      </c>
    </row>
    <row r="28" spans="1:1" x14ac:dyDescent="0.3">
      <c r="A28" t="s">
        <v>79</v>
      </c>
    </row>
    <row r="29" spans="1:1" x14ac:dyDescent="0.3">
      <c r="A29" t="s">
        <v>16</v>
      </c>
    </row>
    <row r="30" spans="1:1" x14ac:dyDescent="0.3">
      <c r="A30" t="s">
        <v>16</v>
      </c>
    </row>
    <row r="31" spans="1:1" x14ac:dyDescent="0.3">
      <c r="A31" t="s">
        <v>80</v>
      </c>
    </row>
    <row r="32" spans="1:1" x14ac:dyDescent="0.3">
      <c r="A32" t="s">
        <v>81</v>
      </c>
    </row>
    <row r="33" spans="1:1" x14ac:dyDescent="0.3">
      <c r="A33" t="s">
        <v>82</v>
      </c>
    </row>
    <row r="34" spans="1:1" x14ac:dyDescent="0.3">
      <c r="A34" t="s">
        <v>83</v>
      </c>
    </row>
    <row r="35" spans="1:1" x14ac:dyDescent="0.3">
      <c r="A35" t="s">
        <v>84</v>
      </c>
    </row>
    <row r="36" spans="1:1" x14ac:dyDescent="0.3">
      <c r="A36" t="s">
        <v>85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16</v>
      </c>
    </row>
    <row r="42" spans="1:1" x14ac:dyDescent="0.3">
      <c r="A42" t="s">
        <v>16</v>
      </c>
    </row>
    <row r="43" spans="1:1" x14ac:dyDescent="0.3">
      <c r="A43" t="s">
        <v>90</v>
      </c>
    </row>
    <row r="44" spans="1:1" x14ac:dyDescent="0.3">
      <c r="A44" t="s">
        <v>16</v>
      </c>
    </row>
    <row r="45" spans="1:1" x14ac:dyDescent="0.3">
      <c r="A45" t="s">
        <v>16</v>
      </c>
    </row>
    <row r="46" spans="1:1" x14ac:dyDescent="0.3">
      <c r="A46" t="s">
        <v>91</v>
      </c>
    </row>
    <row r="47" spans="1:1" x14ac:dyDescent="0.3">
      <c r="A47" t="s">
        <v>92</v>
      </c>
    </row>
    <row r="48" spans="1:1" x14ac:dyDescent="0.3">
      <c r="A48" t="s">
        <v>93</v>
      </c>
    </row>
    <row r="49" spans="1:1" x14ac:dyDescent="0.3">
      <c r="A49" t="s">
        <v>94</v>
      </c>
    </row>
    <row r="50" spans="1:1" x14ac:dyDescent="0.3">
      <c r="A50" t="s">
        <v>16</v>
      </c>
    </row>
    <row r="51" spans="1:1" x14ac:dyDescent="0.3">
      <c r="A51" t="s">
        <v>16</v>
      </c>
    </row>
    <row r="52" spans="1:1" x14ac:dyDescent="0.3">
      <c r="A52" t="s">
        <v>95</v>
      </c>
    </row>
    <row r="53" spans="1:1" x14ac:dyDescent="0.3">
      <c r="A53" t="s">
        <v>96</v>
      </c>
    </row>
    <row r="54" spans="1:1" x14ac:dyDescent="0.3">
      <c r="A54" t="s">
        <v>97</v>
      </c>
    </row>
    <row r="55" spans="1:1" x14ac:dyDescent="0.3">
      <c r="A55" t="s">
        <v>98</v>
      </c>
    </row>
    <row r="56" spans="1:1" x14ac:dyDescent="0.3">
      <c r="A56" t="s">
        <v>99</v>
      </c>
    </row>
    <row r="57" spans="1:1" x14ac:dyDescent="0.3">
      <c r="A57" t="s">
        <v>100</v>
      </c>
    </row>
    <row r="58" spans="1:1" x14ac:dyDescent="0.3">
      <c r="A58" t="s">
        <v>101</v>
      </c>
    </row>
    <row r="59" spans="1:1" x14ac:dyDescent="0.3">
      <c r="A59" t="s">
        <v>102</v>
      </c>
    </row>
    <row r="60" spans="1:1" x14ac:dyDescent="0.3">
      <c r="A60" t="s">
        <v>102</v>
      </c>
    </row>
    <row r="61" spans="1:1" x14ac:dyDescent="0.3">
      <c r="A61" t="s">
        <v>103</v>
      </c>
    </row>
    <row r="62" spans="1:1" x14ac:dyDescent="0.3">
      <c r="A62" t="s">
        <v>104</v>
      </c>
    </row>
    <row r="63" spans="1:1" x14ac:dyDescent="0.3">
      <c r="A63" t="s">
        <v>105</v>
      </c>
    </row>
    <row r="64" spans="1:1" x14ac:dyDescent="0.3">
      <c r="A64" t="s">
        <v>106</v>
      </c>
    </row>
    <row r="65" spans="1:1" x14ac:dyDescent="0.3">
      <c r="A65" t="s">
        <v>107</v>
      </c>
    </row>
    <row r="66" spans="1:1" x14ac:dyDescent="0.3">
      <c r="A66" t="s">
        <v>108</v>
      </c>
    </row>
    <row r="67" spans="1:1" x14ac:dyDescent="0.3">
      <c r="A67" t="s">
        <v>109</v>
      </c>
    </row>
    <row r="68" spans="1:1" x14ac:dyDescent="0.3">
      <c r="A68" t="s">
        <v>110</v>
      </c>
    </row>
    <row r="69" spans="1:1" x14ac:dyDescent="0.3">
      <c r="A69" t="s">
        <v>111</v>
      </c>
    </row>
    <row r="70" spans="1:1" x14ac:dyDescent="0.3">
      <c r="A70" t="s">
        <v>112</v>
      </c>
    </row>
    <row r="71" spans="1:1" x14ac:dyDescent="0.3">
      <c r="A71" t="s">
        <v>113</v>
      </c>
    </row>
    <row r="72" spans="1:1" x14ac:dyDescent="0.3">
      <c r="A72" t="s">
        <v>114</v>
      </c>
    </row>
    <row r="73" spans="1:1" x14ac:dyDescent="0.3">
      <c r="A73" t="s">
        <v>115</v>
      </c>
    </row>
    <row r="74" spans="1:1" x14ac:dyDescent="0.3">
      <c r="A74" t="s">
        <v>116</v>
      </c>
    </row>
    <row r="75" spans="1:1" x14ac:dyDescent="0.3">
      <c r="A75" t="s">
        <v>113</v>
      </c>
    </row>
    <row r="76" spans="1:1" x14ac:dyDescent="0.3">
      <c r="A76" t="s">
        <v>114</v>
      </c>
    </row>
    <row r="77" spans="1:1" x14ac:dyDescent="0.3">
      <c r="A77" t="s">
        <v>115</v>
      </c>
    </row>
    <row r="78" spans="1:1" x14ac:dyDescent="0.3">
      <c r="A78" t="s">
        <v>117</v>
      </c>
    </row>
    <row r="79" spans="1:1" x14ac:dyDescent="0.3">
      <c r="A79" t="s">
        <v>16</v>
      </c>
    </row>
    <row r="80" spans="1:1" x14ac:dyDescent="0.3">
      <c r="A80" t="s">
        <v>16</v>
      </c>
    </row>
    <row r="81" spans="1:1" x14ac:dyDescent="0.3">
      <c r="A81" t="s">
        <v>118</v>
      </c>
    </row>
    <row r="82" spans="1:1" x14ac:dyDescent="0.3">
      <c r="A82" t="s">
        <v>119</v>
      </c>
    </row>
    <row r="83" spans="1:1" x14ac:dyDescent="0.3">
      <c r="A83" t="s">
        <v>120</v>
      </c>
    </row>
    <row r="84" spans="1:1" x14ac:dyDescent="0.3">
      <c r="A84" t="s">
        <v>121</v>
      </c>
    </row>
    <row r="85" spans="1:1" x14ac:dyDescent="0.3">
      <c r="A85" t="s">
        <v>122</v>
      </c>
    </row>
    <row r="86" spans="1:1" x14ac:dyDescent="0.3">
      <c r="A86" t="s">
        <v>123</v>
      </c>
    </row>
    <row r="87" spans="1:1" x14ac:dyDescent="0.3">
      <c r="A87" t="s">
        <v>124</v>
      </c>
    </row>
    <row r="88" spans="1:1" x14ac:dyDescent="0.3">
      <c r="A88" t="s">
        <v>125</v>
      </c>
    </row>
    <row r="89" spans="1:1" x14ac:dyDescent="0.3">
      <c r="A89" t="s">
        <v>126</v>
      </c>
    </row>
    <row r="90" spans="1:1" x14ac:dyDescent="0.3">
      <c r="A90" t="s">
        <v>127</v>
      </c>
    </row>
    <row r="91" spans="1:1" x14ac:dyDescent="0.3">
      <c r="A91" t="s">
        <v>63</v>
      </c>
    </row>
    <row r="92" spans="1:1" x14ac:dyDescent="0.3">
      <c r="A9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118"/>
  <sheetViews>
    <sheetView topLeftCell="A92" workbookViewId="0">
      <selection activeCell="D108" sqref="D108"/>
    </sheetView>
  </sheetViews>
  <sheetFormatPr defaultRowHeight="14.4" x14ac:dyDescent="0.3"/>
  <cols>
    <col min="1" max="1" width="60.44140625" bestFit="1" customWidth="1"/>
  </cols>
  <sheetData>
    <row r="1" spans="1:1" x14ac:dyDescent="0.3">
      <c r="A1" t="s">
        <v>128</v>
      </c>
    </row>
    <row r="2" spans="1:1" x14ac:dyDescent="0.3">
      <c r="A2" t="s">
        <v>1</v>
      </c>
    </row>
    <row r="3" spans="1:1" x14ac:dyDescent="0.3">
      <c r="A3" t="s">
        <v>129</v>
      </c>
    </row>
    <row r="4" spans="1:1" x14ac:dyDescent="0.3">
      <c r="A4" t="s">
        <v>130</v>
      </c>
    </row>
    <row r="5" spans="1:1" x14ac:dyDescent="0.3">
      <c r="A5" t="s">
        <v>131</v>
      </c>
    </row>
    <row r="6" spans="1:1" x14ac:dyDescent="0.3">
      <c r="A6" t="s">
        <v>132</v>
      </c>
    </row>
    <row r="7" spans="1:1" x14ac:dyDescent="0.3">
      <c r="A7" t="s">
        <v>133</v>
      </c>
    </row>
    <row r="8" spans="1:1" x14ac:dyDescent="0.3">
      <c r="A8" t="s">
        <v>134</v>
      </c>
    </row>
    <row r="9" spans="1:1" x14ac:dyDescent="0.3">
      <c r="A9" t="s">
        <v>135</v>
      </c>
    </row>
    <row r="10" spans="1:1" x14ac:dyDescent="0.3">
      <c r="A10" t="s">
        <v>136</v>
      </c>
    </row>
    <row r="11" spans="1:1" x14ac:dyDescent="0.3">
      <c r="A11" t="s">
        <v>137</v>
      </c>
    </row>
    <row r="12" spans="1:1" x14ac:dyDescent="0.3">
      <c r="A12" t="s">
        <v>138</v>
      </c>
    </row>
    <row r="13" spans="1:1" x14ac:dyDescent="0.3">
      <c r="A13" t="s">
        <v>139</v>
      </c>
    </row>
    <row r="14" spans="1:1" x14ac:dyDescent="0.3">
      <c r="A14" t="s">
        <v>140</v>
      </c>
    </row>
    <row r="15" spans="1:1" x14ac:dyDescent="0.3">
      <c r="A15" t="s">
        <v>141</v>
      </c>
    </row>
    <row r="16" spans="1:1" x14ac:dyDescent="0.3">
      <c r="A16" t="s">
        <v>142</v>
      </c>
    </row>
    <row r="17" spans="1:1" x14ac:dyDescent="0.3">
      <c r="A17" t="s">
        <v>143</v>
      </c>
    </row>
    <row r="18" spans="1:1" x14ac:dyDescent="0.3">
      <c r="A18" t="s">
        <v>144</v>
      </c>
    </row>
    <row r="19" spans="1:1" x14ac:dyDescent="0.3">
      <c r="A19" t="s">
        <v>145</v>
      </c>
    </row>
    <row r="20" spans="1:1" x14ac:dyDescent="0.3">
      <c r="A20" t="s">
        <v>146</v>
      </c>
    </row>
    <row r="21" spans="1:1" x14ac:dyDescent="0.3">
      <c r="A21" t="s">
        <v>147</v>
      </c>
    </row>
    <row r="22" spans="1:1" x14ac:dyDescent="0.3">
      <c r="A22" t="s">
        <v>148</v>
      </c>
    </row>
    <row r="23" spans="1:1" x14ac:dyDescent="0.3">
      <c r="A23" t="s">
        <v>16</v>
      </c>
    </row>
    <row r="24" spans="1:1" x14ac:dyDescent="0.3">
      <c r="A24" t="s">
        <v>16</v>
      </c>
    </row>
    <row r="25" spans="1:1" x14ac:dyDescent="0.3">
      <c r="A25" t="s">
        <v>149</v>
      </c>
    </row>
    <row r="26" spans="1:1" x14ac:dyDescent="0.3">
      <c r="A26" t="s">
        <v>150</v>
      </c>
    </row>
    <row r="27" spans="1:1" x14ac:dyDescent="0.3">
      <c r="A27" t="s">
        <v>151</v>
      </c>
    </row>
    <row r="28" spans="1:1" x14ac:dyDescent="0.3">
      <c r="A28" t="s">
        <v>152</v>
      </c>
    </row>
    <row r="29" spans="1:1" x14ac:dyDescent="0.3">
      <c r="A29" t="s">
        <v>153</v>
      </c>
    </row>
    <row r="30" spans="1:1" x14ac:dyDescent="0.3">
      <c r="A30" t="s">
        <v>154</v>
      </c>
    </row>
    <row r="31" spans="1:1" x14ac:dyDescent="0.3">
      <c r="A31" t="s">
        <v>155</v>
      </c>
    </row>
    <row r="32" spans="1:1" x14ac:dyDescent="0.3">
      <c r="A32" t="s">
        <v>156</v>
      </c>
    </row>
    <row r="33" spans="1:1" x14ac:dyDescent="0.3">
      <c r="A33" t="s">
        <v>150</v>
      </c>
    </row>
    <row r="34" spans="1:1" x14ac:dyDescent="0.3">
      <c r="A34" t="s">
        <v>157</v>
      </c>
    </row>
    <row r="35" spans="1:1" x14ac:dyDescent="0.3">
      <c r="A35" t="s">
        <v>158</v>
      </c>
    </row>
    <row r="36" spans="1:1" x14ac:dyDescent="0.3">
      <c r="A36" t="s">
        <v>159</v>
      </c>
    </row>
    <row r="37" spans="1:1" x14ac:dyDescent="0.3">
      <c r="A37" t="s">
        <v>160</v>
      </c>
    </row>
    <row r="38" spans="1:1" x14ac:dyDescent="0.3">
      <c r="A38" t="s">
        <v>16</v>
      </c>
    </row>
    <row r="39" spans="1:1" x14ac:dyDescent="0.3">
      <c r="A39" t="s">
        <v>16</v>
      </c>
    </row>
    <row r="40" spans="1:1" x14ac:dyDescent="0.3">
      <c r="A40" t="s">
        <v>161</v>
      </c>
    </row>
    <row r="41" spans="1:1" x14ac:dyDescent="0.3">
      <c r="A41" t="s">
        <v>162</v>
      </c>
    </row>
    <row r="42" spans="1:1" x14ac:dyDescent="0.3">
      <c r="A42" t="s">
        <v>16</v>
      </c>
    </row>
    <row r="43" spans="1:1" x14ac:dyDescent="0.3">
      <c r="A43" t="s">
        <v>16</v>
      </c>
    </row>
    <row r="44" spans="1:1" x14ac:dyDescent="0.3">
      <c r="A44" t="s">
        <v>163</v>
      </c>
    </row>
    <row r="45" spans="1:1" x14ac:dyDescent="0.3">
      <c r="A45" t="s">
        <v>164</v>
      </c>
    </row>
    <row r="46" spans="1:1" x14ac:dyDescent="0.3">
      <c r="A46" t="s">
        <v>16</v>
      </c>
    </row>
    <row r="47" spans="1:1" x14ac:dyDescent="0.3">
      <c r="A47" t="s">
        <v>16</v>
      </c>
    </row>
    <row r="48" spans="1:1" x14ac:dyDescent="0.3">
      <c r="A48" t="s">
        <v>165</v>
      </c>
    </row>
    <row r="49" spans="1:1" x14ac:dyDescent="0.3">
      <c r="A49" t="s">
        <v>16</v>
      </c>
    </row>
    <row r="50" spans="1:1" x14ac:dyDescent="0.3">
      <c r="A50" t="s">
        <v>16</v>
      </c>
    </row>
    <row r="51" spans="1:1" x14ac:dyDescent="0.3">
      <c r="A51" t="s">
        <v>166</v>
      </c>
    </row>
    <row r="52" spans="1:1" x14ac:dyDescent="0.3">
      <c r="A52" t="s">
        <v>167</v>
      </c>
    </row>
    <row r="53" spans="1:1" x14ac:dyDescent="0.3">
      <c r="A53" t="s">
        <v>16</v>
      </c>
    </row>
    <row r="54" spans="1:1" x14ac:dyDescent="0.3">
      <c r="A54" t="s">
        <v>16</v>
      </c>
    </row>
    <row r="55" spans="1:1" x14ac:dyDescent="0.3">
      <c r="A55" t="s">
        <v>168</v>
      </c>
    </row>
    <row r="56" spans="1:1" x14ac:dyDescent="0.3">
      <c r="A56" t="s">
        <v>169</v>
      </c>
    </row>
    <row r="57" spans="1:1" x14ac:dyDescent="0.3">
      <c r="A57" t="s">
        <v>16</v>
      </c>
    </row>
    <row r="58" spans="1:1" x14ac:dyDescent="0.3">
      <c r="A58" t="s">
        <v>16</v>
      </c>
    </row>
    <row r="59" spans="1:1" x14ac:dyDescent="0.3">
      <c r="A59" t="s">
        <v>170</v>
      </c>
    </row>
    <row r="60" spans="1:1" x14ac:dyDescent="0.3">
      <c r="A60" t="s">
        <v>171</v>
      </c>
    </row>
    <row r="61" spans="1:1" x14ac:dyDescent="0.3">
      <c r="A61" t="s">
        <v>16</v>
      </c>
    </row>
    <row r="62" spans="1:1" x14ac:dyDescent="0.3">
      <c r="A62" t="s">
        <v>16</v>
      </c>
    </row>
    <row r="63" spans="1:1" x14ac:dyDescent="0.3">
      <c r="A63" t="s">
        <v>172</v>
      </c>
    </row>
    <row r="64" spans="1:1" x14ac:dyDescent="0.3">
      <c r="A64" t="s">
        <v>16</v>
      </c>
    </row>
    <row r="65" spans="1:1" x14ac:dyDescent="0.3">
      <c r="A65" t="s">
        <v>16</v>
      </c>
    </row>
    <row r="66" spans="1:1" x14ac:dyDescent="0.3">
      <c r="A66" t="s">
        <v>173</v>
      </c>
    </row>
    <row r="67" spans="1:1" x14ac:dyDescent="0.3">
      <c r="A67" t="s">
        <v>174</v>
      </c>
    </row>
    <row r="68" spans="1:1" x14ac:dyDescent="0.3">
      <c r="A68" t="s">
        <v>175</v>
      </c>
    </row>
    <row r="69" spans="1:1" x14ac:dyDescent="0.3">
      <c r="A69" t="s">
        <v>176</v>
      </c>
    </row>
    <row r="70" spans="1:1" x14ac:dyDescent="0.3">
      <c r="A70" t="s">
        <v>177</v>
      </c>
    </row>
    <row r="71" spans="1:1" x14ac:dyDescent="0.3">
      <c r="A71" t="s">
        <v>178</v>
      </c>
    </row>
    <row r="72" spans="1:1" x14ac:dyDescent="0.3">
      <c r="A72" t="s">
        <v>179</v>
      </c>
    </row>
    <row r="73" spans="1:1" x14ac:dyDescent="0.3">
      <c r="A73" t="s">
        <v>180</v>
      </c>
    </row>
    <row r="74" spans="1:1" x14ac:dyDescent="0.3">
      <c r="A74" t="s">
        <v>181</v>
      </c>
    </row>
    <row r="75" spans="1:1" x14ac:dyDescent="0.3">
      <c r="A75" t="s">
        <v>182</v>
      </c>
    </row>
    <row r="76" spans="1:1" x14ac:dyDescent="0.3">
      <c r="A76" t="s">
        <v>183</v>
      </c>
    </row>
    <row r="77" spans="1:1" x14ac:dyDescent="0.3">
      <c r="A77" t="s">
        <v>184</v>
      </c>
    </row>
    <row r="78" spans="1:1" x14ac:dyDescent="0.3">
      <c r="A78" t="s">
        <v>185</v>
      </c>
    </row>
    <row r="79" spans="1:1" x14ac:dyDescent="0.3">
      <c r="A79" t="s">
        <v>186</v>
      </c>
    </row>
    <row r="80" spans="1:1" x14ac:dyDescent="0.3">
      <c r="A80" t="s">
        <v>187</v>
      </c>
    </row>
    <row r="81" spans="1:1" x14ac:dyDescent="0.3">
      <c r="A81" t="s">
        <v>188</v>
      </c>
    </row>
    <row r="82" spans="1:1" x14ac:dyDescent="0.3">
      <c r="A82" t="s">
        <v>189</v>
      </c>
    </row>
    <row r="83" spans="1:1" x14ac:dyDescent="0.3">
      <c r="A83" t="s">
        <v>190</v>
      </c>
    </row>
    <row r="84" spans="1:1" x14ac:dyDescent="0.3">
      <c r="A84" t="s">
        <v>191</v>
      </c>
    </row>
    <row r="85" spans="1:1" x14ac:dyDescent="0.3">
      <c r="A85" t="s">
        <v>192</v>
      </c>
    </row>
    <row r="86" spans="1:1" x14ac:dyDescent="0.3">
      <c r="A86" t="s">
        <v>193</v>
      </c>
    </row>
    <row r="87" spans="1:1" x14ac:dyDescent="0.3">
      <c r="A87" t="s">
        <v>194</v>
      </c>
    </row>
    <row r="88" spans="1:1" x14ac:dyDescent="0.3">
      <c r="A88" t="s">
        <v>195</v>
      </c>
    </row>
    <row r="89" spans="1:1" x14ac:dyDescent="0.3">
      <c r="A89" t="s">
        <v>196</v>
      </c>
    </row>
    <row r="90" spans="1:1" x14ac:dyDescent="0.3">
      <c r="A90" t="s">
        <v>197</v>
      </c>
    </row>
    <row r="91" spans="1:1" x14ac:dyDescent="0.3">
      <c r="A91" t="s">
        <v>198</v>
      </c>
    </row>
    <row r="92" spans="1:1" x14ac:dyDescent="0.3">
      <c r="A92" t="s">
        <v>199</v>
      </c>
    </row>
    <row r="93" spans="1:1" x14ac:dyDescent="0.3">
      <c r="A93" t="s">
        <v>200</v>
      </c>
    </row>
    <row r="94" spans="1:1" x14ac:dyDescent="0.3">
      <c r="A94" t="s">
        <v>201</v>
      </c>
    </row>
    <row r="95" spans="1:1" x14ac:dyDescent="0.3">
      <c r="A95" t="s">
        <v>202</v>
      </c>
    </row>
    <row r="96" spans="1:1" x14ac:dyDescent="0.3">
      <c r="A96" t="s">
        <v>203</v>
      </c>
    </row>
    <row r="97" spans="1:1" x14ac:dyDescent="0.3">
      <c r="A97" t="s">
        <v>204</v>
      </c>
    </row>
    <row r="98" spans="1:1" x14ac:dyDescent="0.3">
      <c r="A98" t="s">
        <v>205</v>
      </c>
    </row>
    <row r="99" spans="1:1" x14ac:dyDescent="0.3">
      <c r="A99" t="s">
        <v>16</v>
      </c>
    </row>
    <row r="100" spans="1:1" x14ac:dyDescent="0.3">
      <c r="A100" t="s">
        <v>16</v>
      </c>
    </row>
    <row r="101" spans="1:1" x14ac:dyDescent="0.3">
      <c r="A101" t="s">
        <v>206</v>
      </c>
    </row>
    <row r="102" spans="1:1" x14ac:dyDescent="0.3">
      <c r="A102" t="s">
        <v>207</v>
      </c>
    </row>
    <row r="103" spans="1:1" x14ac:dyDescent="0.3">
      <c r="A103" t="s">
        <v>208</v>
      </c>
    </row>
    <row r="104" spans="1:1" x14ac:dyDescent="0.3">
      <c r="A104" t="s">
        <v>209</v>
      </c>
    </row>
    <row r="105" spans="1:1" x14ac:dyDescent="0.3">
      <c r="A105" t="s">
        <v>210</v>
      </c>
    </row>
    <row r="106" spans="1:1" x14ac:dyDescent="0.3">
      <c r="A106" t="s">
        <v>211</v>
      </c>
    </row>
    <row r="107" spans="1:1" x14ac:dyDescent="0.3">
      <c r="A107" t="s">
        <v>212</v>
      </c>
    </row>
    <row r="108" spans="1:1" x14ac:dyDescent="0.3">
      <c r="A108" t="s">
        <v>16</v>
      </c>
    </row>
    <row r="109" spans="1:1" x14ac:dyDescent="0.3">
      <c r="A109" t="s">
        <v>16</v>
      </c>
    </row>
    <row r="110" spans="1:1" x14ac:dyDescent="0.3">
      <c r="A110" t="s">
        <v>213</v>
      </c>
    </row>
    <row r="111" spans="1:1" x14ac:dyDescent="0.3">
      <c r="A111" t="s">
        <v>119</v>
      </c>
    </row>
    <row r="112" spans="1:1" x14ac:dyDescent="0.3">
      <c r="A112" t="s">
        <v>214</v>
      </c>
    </row>
    <row r="113" spans="1:1" x14ac:dyDescent="0.3">
      <c r="A113" t="s">
        <v>215</v>
      </c>
    </row>
    <row r="114" spans="1:1" x14ac:dyDescent="0.3">
      <c r="A114" t="s">
        <v>125</v>
      </c>
    </row>
    <row r="115" spans="1:1" x14ac:dyDescent="0.3">
      <c r="A115" t="s">
        <v>216</v>
      </c>
    </row>
    <row r="116" spans="1:1" x14ac:dyDescent="0.3">
      <c r="A116" t="s">
        <v>217</v>
      </c>
    </row>
    <row r="117" spans="1:1" x14ac:dyDescent="0.3">
      <c r="A117" t="s">
        <v>122</v>
      </c>
    </row>
    <row r="118" spans="1:1" x14ac:dyDescent="0.3">
      <c r="A118" t="s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97"/>
  <sheetViews>
    <sheetView topLeftCell="A75" workbookViewId="0">
      <selection activeCell="C7" sqref="C7"/>
    </sheetView>
  </sheetViews>
  <sheetFormatPr defaultRowHeight="14.4" x14ac:dyDescent="0.3"/>
  <cols>
    <col min="1" max="1" width="52.77734375" bestFit="1" customWidth="1"/>
  </cols>
  <sheetData>
    <row r="1" spans="1:1" x14ac:dyDescent="0.3">
      <c r="A1" t="s">
        <v>219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220</v>
      </c>
    </row>
    <row r="5" spans="1:1" x14ac:dyDescent="0.3">
      <c r="A5" t="s">
        <v>221</v>
      </c>
    </row>
    <row r="6" spans="1:1" x14ac:dyDescent="0.3">
      <c r="A6" t="s">
        <v>222</v>
      </c>
    </row>
    <row r="7" spans="1:1" x14ac:dyDescent="0.3">
      <c r="A7" t="s">
        <v>223</v>
      </c>
    </row>
    <row r="8" spans="1:1" x14ac:dyDescent="0.3">
      <c r="A8" t="s">
        <v>224</v>
      </c>
    </row>
    <row r="9" spans="1:1" x14ac:dyDescent="0.3">
      <c r="A9" t="s">
        <v>225</v>
      </c>
    </row>
    <row r="10" spans="1:1" x14ac:dyDescent="0.3">
      <c r="A10" t="s">
        <v>226</v>
      </c>
    </row>
    <row r="11" spans="1:1" x14ac:dyDescent="0.3">
      <c r="A11" t="e" cm="1">
        <f t="array" ref="A11">- A vue</f>
        <v>#NAME?</v>
      </c>
    </row>
    <row r="12" spans="1:1" x14ac:dyDescent="0.3">
      <c r="A12" t="s">
        <v>227</v>
      </c>
    </row>
    <row r="13" spans="1:1" x14ac:dyDescent="0.3">
      <c r="A13" t="s">
        <v>228</v>
      </c>
    </row>
    <row r="14" spans="1:1" x14ac:dyDescent="0.3">
      <c r="A14" t="e" cm="1">
        <f t="array" ref="A14">- A terme</f>
        <v>#NAME?</v>
      </c>
    </row>
    <row r="15" spans="1:1" x14ac:dyDescent="0.3">
      <c r="A15" t="s">
        <v>229</v>
      </c>
    </row>
    <row r="16" spans="1:1" x14ac:dyDescent="0.3">
      <c r="A16" t="s">
        <v>230</v>
      </c>
    </row>
    <row r="17" spans="1:1" x14ac:dyDescent="0.3">
      <c r="A17" t="s">
        <v>231</v>
      </c>
    </row>
    <row r="18" spans="1:1" x14ac:dyDescent="0.3">
      <c r="A18" t="s">
        <v>232</v>
      </c>
    </row>
    <row r="19" spans="1:1" x14ac:dyDescent="0.3">
      <c r="A19" t="s">
        <v>233</v>
      </c>
    </row>
    <row r="20" spans="1:1" x14ac:dyDescent="0.3">
      <c r="A20" t="e" cm="1">
        <f t="array" ref="A20">- Crédits et financements participatifs de trésorerie et à la consommation</f>
        <v>#NAME?</v>
      </c>
    </row>
    <row r="21" spans="1:1" x14ac:dyDescent="0.3">
      <c r="A21" t="s">
        <v>234</v>
      </c>
    </row>
    <row r="22" spans="1:1" x14ac:dyDescent="0.3">
      <c r="A22" t="s">
        <v>235</v>
      </c>
    </row>
    <row r="23" spans="1:1" x14ac:dyDescent="0.3">
      <c r="A23" t="s">
        <v>236</v>
      </c>
    </row>
    <row r="24" spans="1:1" x14ac:dyDescent="0.3">
      <c r="A24" t="s">
        <v>237</v>
      </c>
    </row>
    <row r="25" spans="1:1" x14ac:dyDescent="0.3">
      <c r="A25" t="s">
        <v>238</v>
      </c>
    </row>
    <row r="26" spans="1:1" x14ac:dyDescent="0.3">
      <c r="A26" t="e" cm="1">
        <f t="array" ref="A26">- Crédits et financements participatifs immobiliers</f>
        <v>#NAME?</v>
      </c>
    </row>
    <row r="27" spans="1:1" x14ac:dyDescent="0.3">
      <c r="A27" t="s">
        <v>239</v>
      </c>
    </row>
    <row r="28" spans="1:1" x14ac:dyDescent="0.3">
      <c r="A28" t="s">
        <v>240</v>
      </c>
    </row>
    <row r="29" spans="1:1" x14ac:dyDescent="0.3">
      <c r="A29" t="e" cm="1">
        <f t="array" ref="A29">- Autres Crédits et financements participatifs</f>
        <v>#NAME?</v>
      </c>
    </row>
    <row r="30" spans="1:1" x14ac:dyDescent="0.3">
      <c r="A30" t="s">
        <v>241</v>
      </c>
    </row>
    <row r="31" spans="1:1" x14ac:dyDescent="0.3">
      <c r="A31" t="s">
        <v>242</v>
      </c>
    </row>
    <row r="32" spans="1:1" x14ac:dyDescent="0.3">
      <c r="A32" t="s">
        <v>243</v>
      </c>
    </row>
    <row r="33" spans="1:1" x14ac:dyDescent="0.3">
      <c r="A33" t="s">
        <v>244</v>
      </c>
    </row>
    <row r="34" spans="1:1" x14ac:dyDescent="0.3">
      <c r="A34" t="s">
        <v>245</v>
      </c>
    </row>
    <row r="35" spans="1:1" x14ac:dyDescent="0.3">
      <c r="A35" t="s">
        <v>246</v>
      </c>
    </row>
    <row r="36" spans="1:1" x14ac:dyDescent="0.3">
      <c r="A36" t="s">
        <v>247</v>
      </c>
    </row>
    <row r="37" spans="1:1" x14ac:dyDescent="0.3">
      <c r="A37" t="s">
        <v>248</v>
      </c>
    </row>
    <row r="38" spans="1:1" x14ac:dyDescent="0.3">
      <c r="A38" t="e" cm="1">
        <f t="array" ref="A38">- Bons du Trésor et valeurs assimilées</f>
        <v>#NAME?</v>
      </c>
    </row>
    <row r="39" spans="1:1" x14ac:dyDescent="0.3">
      <c r="A39" t="s">
        <v>249</v>
      </c>
    </row>
    <row r="40" spans="1:1" x14ac:dyDescent="0.3">
      <c r="A40" t="s">
        <v>250</v>
      </c>
    </row>
    <row r="41" spans="1:1" x14ac:dyDescent="0.3">
      <c r="A41" t="e" cm="1">
        <f t="array" ref="A41">- Autres titres de créance</f>
        <v>#NAME?</v>
      </c>
    </row>
    <row r="42" spans="1:1" x14ac:dyDescent="0.3">
      <c r="A42" t="s">
        <v>251</v>
      </c>
    </row>
    <row r="43" spans="1:1" x14ac:dyDescent="0.3">
      <c r="A43" t="s">
        <v>252</v>
      </c>
    </row>
    <row r="44" spans="1:1" x14ac:dyDescent="0.3">
      <c r="A44" t="e" cm="1">
        <f t="array" ref="A44">- Certificats de Sukuk</f>
        <v>#NAME?</v>
      </c>
    </row>
    <row r="45" spans="1:1" x14ac:dyDescent="0.3">
      <c r="A45" t="s">
        <v>16</v>
      </c>
    </row>
    <row r="46" spans="1:1" x14ac:dyDescent="0.3">
      <c r="A46" t="s">
        <v>16</v>
      </c>
    </row>
    <row r="47" spans="1:1" x14ac:dyDescent="0.3">
      <c r="A47" t="e" cm="1">
        <f t="array" ref="A47">- titres de propriété</f>
        <v>#NAME?</v>
      </c>
    </row>
    <row r="48" spans="1:1" x14ac:dyDescent="0.3">
      <c r="A48" t="s">
        <v>253</v>
      </c>
    </row>
    <row r="49" spans="1:1" x14ac:dyDescent="0.3">
      <c r="A49" t="s">
        <v>254</v>
      </c>
    </row>
    <row r="50" spans="1:1" x14ac:dyDescent="0.3">
      <c r="A50" t="s">
        <v>255</v>
      </c>
    </row>
    <row r="51" spans="1:1" x14ac:dyDescent="0.3">
      <c r="A51" t="s">
        <v>256</v>
      </c>
    </row>
    <row r="52" spans="1:1" x14ac:dyDescent="0.3">
      <c r="A52" t="s">
        <v>257</v>
      </c>
    </row>
    <row r="53" spans="1:1" x14ac:dyDescent="0.3">
      <c r="A53" t="s">
        <v>258</v>
      </c>
    </row>
    <row r="54" spans="1:1" x14ac:dyDescent="0.3">
      <c r="A54" t="s">
        <v>27</v>
      </c>
    </row>
    <row r="55" spans="1:1" x14ac:dyDescent="0.3">
      <c r="A55" t="s">
        <v>28</v>
      </c>
    </row>
    <row r="56" spans="1:1" x14ac:dyDescent="0.3">
      <c r="A56" t="e" cm="1">
        <f t="array" ref="A56">- Bons du Trésor et valeurs assimilées</f>
        <v>#NAME?</v>
      </c>
    </row>
    <row r="57" spans="1:1" x14ac:dyDescent="0.3">
      <c r="A57" t="s">
        <v>259</v>
      </c>
    </row>
    <row r="58" spans="1:1" x14ac:dyDescent="0.3">
      <c r="A58" t="s">
        <v>260</v>
      </c>
    </row>
    <row r="59" spans="1:1" x14ac:dyDescent="0.3">
      <c r="A59" t="e" cm="1">
        <f t="array" ref="A59">- Autres titres de créance</f>
        <v>#NAME?</v>
      </c>
    </row>
    <row r="60" spans="1:1" x14ac:dyDescent="0.3">
      <c r="A60" t="s">
        <v>261</v>
      </c>
    </row>
    <row r="61" spans="1:1" x14ac:dyDescent="0.3">
      <c r="A61" t="s">
        <v>262</v>
      </c>
    </row>
    <row r="62" spans="1:1" x14ac:dyDescent="0.3">
      <c r="A62" t="e" cm="1">
        <f t="array" ref="A62">- Certificats de Sukuk</f>
        <v>#NAME?</v>
      </c>
    </row>
    <row r="63" spans="1:1" x14ac:dyDescent="0.3">
      <c r="A63" t="s">
        <v>16</v>
      </c>
    </row>
    <row r="64" spans="1:1" x14ac:dyDescent="0.3">
      <c r="A64" t="s">
        <v>16</v>
      </c>
    </row>
    <row r="65" spans="1:1" x14ac:dyDescent="0.3">
      <c r="A65" t="s">
        <v>263</v>
      </c>
    </row>
    <row r="66" spans="1:1" x14ac:dyDescent="0.3">
      <c r="A66" t="s">
        <v>264</v>
      </c>
    </row>
    <row r="67" spans="1:1" x14ac:dyDescent="0.3">
      <c r="A67" t="s">
        <v>265</v>
      </c>
    </row>
    <row r="68" spans="1:1" x14ac:dyDescent="0.3">
      <c r="A68" t="e" cm="1">
        <f t="array" ref="A68">- Participation dans les entreprises liées</f>
        <v>#NAME?</v>
      </c>
    </row>
    <row r="69" spans="1:1" x14ac:dyDescent="0.3">
      <c r="A69" t="s">
        <v>266</v>
      </c>
    </row>
    <row r="70" spans="1:1" x14ac:dyDescent="0.3">
      <c r="A70" t="s">
        <v>266</v>
      </c>
    </row>
    <row r="71" spans="1:1" x14ac:dyDescent="0.3">
      <c r="A71" t="e" cm="1">
        <f t="array" ref="A71">- Autres titres de Participation et emplois assimilés</f>
        <v>#NAME?</v>
      </c>
    </row>
    <row r="72" spans="1:1" x14ac:dyDescent="0.3">
      <c r="A72" t="s">
        <v>267</v>
      </c>
    </row>
    <row r="73" spans="1:1" x14ac:dyDescent="0.3">
      <c r="A73" t="s">
        <v>268</v>
      </c>
    </row>
    <row r="74" spans="1:1" x14ac:dyDescent="0.3">
      <c r="A74" t="e" cm="1">
        <f t="array" ref="A74">- titres de Moudaraba et Moucharaka</f>
        <v>#NAME?</v>
      </c>
    </row>
    <row r="75" spans="1:1" x14ac:dyDescent="0.3">
      <c r="A75" t="s">
        <v>16</v>
      </c>
    </row>
    <row r="76" spans="1:1" x14ac:dyDescent="0.3">
      <c r="A76" t="s">
        <v>16</v>
      </c>
    </row>
    <row r="77" spans="1:1" x14ac:dyDescent="0.3">
      <c r="A77" t="s">
        <v>269</v>
      </c>
    </row>
    <row r="78" spans="1:1" x14ac:dyDescent="0.3">
      <c r="A78" t="s">
        <v>16</v>
      </c>
    </row>
    <row r="79" spans="1:1" x14ac:dyDescent="0.3">
      <c r="A79" t="s">
        <v>16</v>
      </c>
    </row>
    <row r="80" spans="1:1" x14ac:dyDescent="0.3">
      <c r="A80" t="s">
        <v>270</v>
      </c>
    </row>
    <row r="81" spans="1:1" x14ac:dyDescent="0.3">
      <c r="A81" t="s">
        <v>271</v>
      </c>
    </row>
    <row r="82" spans="1:1" x14ac:dyDescent="0.3">
      <c r="A82" t="s">
        <v>272</v>
      </c>
    </row>
    <row r="83" spans="1:1" x14ac:dyDescent="0.3">
      <c r="A83" t="s">
        <v>273</v>
      </c>
    </row>
    <row r="84" spans="1:1" x14ac:dyDescent="0.3">
      <c r="A84" t="s">
        <v>16</v>
      </c>
    </row>
    <row r="85" spans="1:1" x14ac:dyDescent="0.3">
      <c r="A85" t="s">
        <v>16</v>
      </c>
    </row>
    <row r="86" spans="1:1" x14ac:dyDescent="0.3">
      <c r="A86" t="s">
        <v>274</v>
      </c>
    </row>
    <row r="87" spans="1:1" x14ac:dyDescent="0.3">
      <c r="A87" t="s">
        <v>16</v>
      </c>
    </row>
    <row r="88" spans="1:1" x14ac:dyDescent="0.3">
      <c r="A88" t="s">
        <v>16</v>
      </c>
    </row>
    <row r="89" spans="1:1" x14ac:dyDescent="0.3">
      <c r="A89" t="s">
        <v>57</v>
      </c>
    </row>
    <row r="90" spans="1:1" x14ac:dyDescent="0.3">
      <c r="A90" t="s">
        <v>275</v>
      </c>
    </row>
    <row r="91" spans="1:1" x14ac:dyDescent="0.3">
      <c r="A91" t="s">
        <v>276</v>
      </c>
    </row>
    <row r="92" spans="1:1" x14ac:dyDescent="0.3">
      <c r="A92" t="s">
        <v>54</v>
      </c>
    </row>
    <row r="93" spans="1:1" x14ac:dyDescent="0.3">
      <c r="A93" t="s">
        <v>277</v>
      </c>
    </row>
    <row r="94" spans="1:1" x14ac:dyDescent="0.3">
      <c r="A94" t="s">
        <v>278</v>
      </c>
    </row>
    <row r="95" spans="1:1" x14ac:dyDescent="0.3">
      <c r="A95" t="s">
        <v>279</v>
      </c>
    </row>
    <row r="96" spans="1:1" x14ac:dyDescent="0.3">
      <c r="A96" t="s">
        <v>280</v>
      </c>
    </row>
    <row r="97" spans="1:1" x14ac:dyDescent="0.3">
      <c r="A97" t="s">
        <v>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87"/>
  <sheetViews>
    <sheetView topLeftCell="A80" workbookViewId="0">
      <selection sqref="A1:A87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282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283</v>
      </c>
    </row>
    <row r="5" spans="1:1" x14ac:dyDescent="0.3">
      <c r="A5" t="s">
        <v>16</v>
      </c>
    </row>
    <row r="6" spans="1:1" x14ac:dyDescent="0.3">
      <c r="A6" t="s">
        <v>16</v>
      </c>
    </row>
    <row r="7" spans="1:1" x14ac:dyDescent="0.3">
      <c r="A7" t="s">
        <v>70</v>
      </c>
    </row>
    <row r="8" spans="1:1" x14ac:dyDescent="0.3">
      <c r="A8" t="s">
        <v>284</v>
      </c>
    </row>
    <row r="9" spans="1:1" x14ac:dyDescent="0.3">
      <c r="A9" t="s">
        <v>285</v>
      </c>
    </row>
    <row r="10" spans="1:1" x14ac:dyDescent="0.3">
      <c r="A10" t="e" cm="1">
        <f t="array" ref="A10">- A vue</f>
        <v>#NAME?</v>
      </c>
    </row>
    <row r="11" spans="1:1" x14ac:dyDescent="0.3">
      <c r="A11" t="s">
        <v>286</v>
      </c>
    </row>
    <row r="12" spans="1:1" x14ac:dyDescent="0.3">
      <c r="A12" t="s">
        <v>287</v>
      </c>
    </row>
    <row r="13" spans="1:1" x14ac:dyDescent="0.3">
      <c r="A13" t="e" cm="1">
        <f t="array" ref="A13">- A terme</f>
        <v>#NAME?</v>
      </c>
    </row>
    <row r="14" spans="1:1" x14ac:dyDescent="0.3">
      <c r="A14" t="s">
        <v>288</v>
      </c>
    </row>
    <row r="15" spans="1:1" x14ac:dyDescent="0.3">
      <c r="A15" t="s">
        <v>289</v>
      </c>
    </row>
    <row r="16" spans="1:1" x14ac:dyDescent="0.3">
      <c r="A16" t="s">
        <v>290</v>
      </c>
    </row>
    <row r="17" spans="1:1" x14ac:dyDescent="0.3">
      <c r="A17" t="s">
        <v>291</v>
      </c>
    </row>
    <row r="18" spans="1:1" x14ac:dyDescent="0.3">
      <c r="A18" t="s">
        <v>292</v>
      </c>
    </row>
    <row r="19" spans="1:1" x14ac:dyDescent="0.3">
      <c r="A19" t="e" cm="1">
        <f t="array" ref="A19">- Comptes à vue créditeurs</f>
        <v>#NAME?</v>
      </c>
    </row>
    <row r="20" spans="1:1" x14ac:dyDescent="0.3">
      <c r="A20" t="s">
        <v>293</v>
      </c>
    </row>
    <row r="21" spans="1:1" x14ac:dyDescent="0.3">
      <c r="A21" t="s">
        <v>294</v>
      </c>
    </row>
    <row r="22" spans="1:1" x14ac:dyDescent="0.3">
      <c r="A22" t="s">
        <v>295</v>
      </c>
    </row>
    <row r="23" spans="1:1" x14ac:dyDescent="0.3">
      <c r="A23" t="s">
        <v>296</v>
      </c>
    </row>
    <row r="24" spans="1:1" x14ac:dyDescent="0.3">
      <c r="A24" t="s">
        <v>297</v>
      </c>
    </row>
    <row r="25" spans="1:1" x14ac:dyDescent="0.3">
      <c r="A25" t="e" cm="1">
        <f t="array" ref="A25">- Dépôts à terme</f>
        <v>#NAME?</v>
      </c>
    </row>
    <row r="26" spans="1:1" x14ac:dyDescent="0.3">
      <c r="A26" t="s">
        <v>298</v>
      </c>
    </row>
    <row r="27" spans="1:1" x14ac:dyDescent="0.3">
      <c r="A27" t="s">
        <v>299</v>
      </c>
    </row>
    <row r="28" spans="1:1" x14ac:dyDescent="0.3">
      <c r="A28" t="e" cm="1">
        <f t="array" ref="A28">- Autres Comptes créditeurs</f>
        <v>#NAME?</v>
      </c>
    </row>
    <row r="29" spans="1:1" x14ac:dyDescent="0.3">
      <c r="A29" t="s">
        <v>300</v>
      </c>
    </row>
    <row r="30" spans="1:1" x14ac:dyDescent="0.3">
      <c r="A30" t="s">
        <v>301</v>
      </c>
    </row>
    <row r="31" spans="1:1" x14ac:dyDescent="0.3">
      <c r="A31" t="s">
        <v>302</v>
      </c>
    </row>
    <row r="32" spans="1:1" x14ac:dyDescent="0.3">
      <c r="A32" t="s">
        <v>16</v>
      </c>
    </row>
    <row r="33" spans="1:1" x14ac:dyDescent="0.3">
      <c r="A33" t="s">
        <v>16</v>
      </c>
    </row>
    <row r="34" spans="1:1" x14ac:dyDescent="0.3">
      <c r="A34" t="s">
        <v>76</v>
      </c>
    </row>
    <row r="35" spans="1:1" x14ac:dyDescent="0.3">
      <c r="A35" t="s">
        <v>303</v>
      </c>
    </row>
    <row r="36" spans="1:1" x14ac:dyDescent="0.3">
      <c r="A36" t="s">
        <v>304</v>
      </c>
    </row>
    <row r="37" spans="1:1" x14ac:dyDescent="0.3">
      <c r="A37" t="e" cm="1">
        <f t="array" ref="A37">- titres de créance négociables</f>
        <v>#NAME?</v>
      </c>
    </row>
    <row r="38" spans="1:1" x14ac:dyDescent="0.3">
      <c r="A38" t="s">
        <v>303</v>
      </c>
    </row>
    <row r="39" spans="1:1" x14ac:dyDescent="0.3">
      <c r="A39" t="s">
        <v>304</v>
      </c>
    </row>
    <row r="40" spans="1:1" x14ac:dyDescent="0.3">
      <c r="A40" t="e" cm="1">
        <f t="array" ref="A40">- Emprunts obligataires</f>
        <v>#NAME?</v>
      </c>
    </row>
    <row r="41" spans="1:1" x14ac:dyDescent="0.3">
      <c r="A41" t="s">
        <v>16</v>
      </c>
    </row>
    <row r="42" spans="1:1" x14ac:dyDescent="0.3">
      <c r="A42" t="s">
        <v>16</v>
      </c>
    </row>
    <row r="43" spans="1:1" x14ac:dyDescent="0.3">
      <c r="A43" t="e" cm="1">
        <f t="array" ref="A43">- Autres titres de créance émis</f>
        <v>#NAME?</v>
      </c>
    </row>
    <row r="44" spans="1:1" x14ac:dyDescent="0.3">
      <c r="A44" t="s">
        <v>16</v>
      </c>
    </row>
    <row r="45" spans="1:1" x14ac:dyDescent="0.3">
      <c r="A45" t="s">
        <v>16</v>
      </c>
    </row>
    <row r="46" spans="1:1" x14ac:dyDescent="0.3">
      <c r="A46" t="s">
        <v>305</v>
      </c>
    </row>
    <row r="47" spans="1:1" x14ac:dyDescent="0.3">
      <c r="A47" t="s">
        <v>306</v>
      </c>
    </row>
    <row r="48" spans="1:1" x14ac:dyDescent="0.3">
      <c r="A48" t="s">
        <v>307</v>
      </c>
    </row>
    <row r="49" spans="1:1" x14ac:dyDescent="0.3">
      <c r="A49" t="s">
        <v>91</v>
      </c>
    </row>
    <row r="50" spans="1:1" x14ac:dyDescent="0.3">
      <c r="A50" t="s">
        <v>308</v>
      </c>
    </row>
    <row r="51" spans="1:1" x14ac:dyDescent="0.3">
      <c r="A51" t="s">
        <v>309</v>
      </c>
    </row>
    <row r="52" spans="1:1" x14ac:dyDescent="0.3">
      <c r="A52" t="s">
        <v>310</v>
      </c>
    </row>
    <row r="53" spans="1:1" x14ac:dyDescent="0.3">
      <c r="A53" t="s">
        <v>16</v>
      </c>
    </row>
    <row r="54" spans="1:1" x14ac:dyDescent="0.3">
      <c r="A54" t="s">
        <v>16</v>
      </c>
    </row>
    <row r="55" spans="1:1" x14ac:dyDescent="0.3">
      <c r="A55" t="s">
        <v>311</v>
      </c>
    </row>
    <row r="56" spans="1:1" x14ac:dyDescent="0.3">
      <c r="A56" t="s">
        <v>16</v>
      </c>
    </row>
    <row r="57" spans="1:1" x14ac:dyDescent="0.3">
      <c r="A57" t="s">
        <v>16</v>
      </c>
    </row>
    <row r="58" spans="1:1" x14ac:dyDescent="0.3">
      <c r="A58" t="s">
        <v>312</v>
      </c>
    </row>
    <row r="59" spans="1:1" x14ac:dyDescent="0.3">
      <c r="A59" t="s">
        <v>313</v>
      </c>
    </row>
    <row r="60" spans="1:1" x14ac:dyDescent="0.3">
      <c r="A60" t="s">
        <v>314</v>
      </c>
    </row>
    <row r="61" spans="1:1" x14ac:dyDescent="0.3">
      <c r="A61" t="s">
        <v>315</v>
      </c>
    </row>
    <row r="62" spans="1:1" x14ac:dyDescent="0.3">
      <c r="A62" t="s">
        <v>16</v>
      </c>
    </row>
    <row r="63" spans="1:1" x14ac:dyDescent="0.3">
      <c r="A63" t="s">
        <v>16</v>
      </c>
    </row>
    <row r="64" spans="1:1" x14ac:dyDescent="0.3">
      <c r="A64" t="s">
        <v>316</v>
      </c>
    </row>
    <row r="65" spans="1:1" x14ac:dyDescent="0.3">
      <c r="A65" t="s">
        <v>16</v>
      </c>
    </row>
    <row r="66" spans="1:1" x14ac:dyDescent="0.3">
      <c r="A66" t="s">
        <v>16</v>
      </c>
    </row>
    <row r="67" spans="1:1" x14ac:dyDescent="0.3">
      <c r="A67" t="s">
        <v>317</v>
      </c>
    </row>
    <row r="68" spans="1:1" x14ac:dyDescent="0.3">
      <c r="A68" t="s">
        <v>318</v>
      </c>
    </row>
    <row r="69" spans="1:1" x14ac:dyDescent="0.3">
      <c r="A69" t="s">
        <v>318</v>
      </c>
    </row>
    <row r="70" spans="1:1" x14ac:dyDescent="0.3">
      <c r="A70" t="s">
        <v>319</v>
      </c>
    </row>
    <row r="71" spans="1:1" x14ac:dyDescent="0.3">
      <c r="A71" t="s">
        <v>102</v>
      </c>
    </row>
    <row r="72" spans="1:1" x14ac:dyDescent="0.3">
      <c r="A72" t="s">
        <v>102</v>
      </c>
    </row>
    <row r="73" spans="1:1" x14ac:dyDescent="0.3">
      <c r="A73" t="s">
        <v>320</v>
      </c>
    </row>
    <row r="74" spans="1:1" x14ac:dyDescent="0.3">
      <c r="A74" t="s">
        <v>16</v>
      </c>
    </row>
    <row r="75" spans="1:1" x14ac:dyDescent="0.3">
      <c r="A75" t="s">
        <v>16</v>
      </c>
    </row>
    <row r="76" spans="1:1" x14ac:dyDescent="0.3">
      <c r="A76" t="s">
        <v>321</v>
      </c>
    </row>
    <row r="77" spans="1:1" x14ac:dyDescent="0.3">
      <c r="A77" t="s">
        <v>322</v>
      </c>
    </row>
    <row r="78" spans="1:1" x14ac:dyDescent="0.3">
      <c r="A78" t="s">
        <v>322</v>
      </c>
    </row>
    <row r="79" spans="1:1" x14ac:dyDescent="0.3">
      <c r="A79" t="s">
        <v>323</v>
      </c>
    </row>
    <row r="80" spans="1:1" x14ac:dyDescent="0.3">
      <c r="A80" t="s">
        <v>324</v>
      </c>
    </row>
    <row r="81" spans="1:1" x14ac:dyDescent="0.3">
      <c r="A81" t="s">
        <v>16</v>
      </c>
    </row>
    <row r="82" spans="1:1" x14ac:dyDescent="0.3">
      <c r="A82" t="s">
        <v>325</v>
      </c>
    </row>
    <row r="83" spans="1:1" x14ac:dyDescent="0.3">
      <c r="A83" t="s">
        <v>326</v>
      </c>
    </row>
    <row r="84" spans="1:1" x14ac:dyDescent="0.3">
      <c r="A84" t="s">
        <v>324</v>
      </c>
    </row>
    <row r="85" spans="1:1" x14ac:dyDescent="0.3">
      <c r="A85" t="s">
        <v>327</v>
      </c>
    </row>
    <row r="86" spans="1:1" x14ac:dyDescent="0.3">
      <c r="A86" t="s">
        <v>280</v>
      </c>
    </row>
    <row r="87" spans="1:1" x14ac:dyDescent="0.3">
      <c r="A87" t="s">
        <v>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39"/>
  <sheetViews>
    <sheetView topLeftCell="A123" workbookViewId="0">
      <selection activeCell="E143" sqref="E143"/>
    </sheetView>
  </sheetViews>
  <sheetFormatPr defaultRowHeight="14.4" x14ac:dyDescent="0.3"/>
  <cols>
    <col min="1" max="1" width="58.88671875" bestFit="1" customWidth="1"/>
  </cols>
  <sheetData>
    <row r="1" spans="1:1" x14ac:dyDescent="0.3">
      <c r="A1" t="s">
        <v>328</v>
      </c>
    </row>
    <row r="2" spans="1:1" x14ac:dyDescent="0.3">
      <c r="A2" t="s">
        <v>1</v>
      </c>
    </row>
    <row r="3" spans="1:1" x14ac:dyDescent="0.3">
      <c r="A3" t="s">
        <v>129</v>
      </c>
    </row>
    <row r="4" spans="1:1" x14ac:dyDescent="0.3">
      <c r="A4" t="s">
        <v>329</v>
      </c>
    </row>
    <row r="5" spans="1:1" x14ac:dyDescent="0.3">
      <c r="A5" t="s">
        <v>330</v>
      </c>
    </row>
    <row r="6" spans="1:1" x14ac:dyDescent="0.3">
      <c r="A6" t="s">
        <v>331</v>
      </c>
    </row>
    <row r="7" spans="1:1" x14ac:dyDescent="0.3">
      <c r="A7" t="s">
        <v>332</v>
      </c>
    </row>
    <row r="8" spans="1:1" x14ac:dyDescent="0.3">
      <c r="A8" t="s">
        <v>333</v>
      </c>
    </row>
    <row r="9" spans="1:1" x14ac:dyDescent="0.3">
      <c r="A9" t="s">
        <v>334</v>
      </c>
    </row>
    <row r="10" spans="1:1" x14ac:dyDescent="0.3">
      <c r="A10" t="s">
        <v>335</v>
      </c>
    </row>
    <row r="11" spans="1:1" x14ac:dyDescent="0.3">
      <c r="A11" t="s">
        <v>336</v>
      </c>
    </row>
    <row r="12" spans="1:1" x14ac:dyDescent="0.3">
      <c r="A12" t="s">
        <v>337</v>
      </c>
    </row>
    <row r="13" spans="1:1" x14ac:dyDescent="0.3">
      <c r="A13" t="s">
        <v>338</v>
      </c>
    </row>
    <row r="14" spans="1:1" x14ac:dyDescent="0.3">
      <c r="A14" t="s">
        <v>339</v>
      </c>
    </row>
    <row r="15" spans="1:1" x14ac:dyDescent="0.3">
      <c r="A15" t="s">
        <v>340</v>
      </c>
    </row>
    <row r="16" spans="1:1" x14ac:dyDescent="0.3">
      <c r="A16" t="s">
        <v>341</v>
      </c>
    </row>
    <row r="17" spans="1:1" x14ac:dyDescent="0.3">
      <c r="A17" t="s">
        <v>342</v>
      </c>
    </row>
    <row r="18" spans="1:1" x14ac:dyDescent="0.3">
      <c r="A18" t="s">
        <v>343</v>
      </c>
    </row>
    <row r="19" spans="1:1" x14ac:dyDescent="0.3">
      <c r="A19" t="s">
        <v>344</v>
      </c>
    </row>
    <row r="20" spans="1:1" x14ac:dyDescent="0.3">
      <c r="A20" t="s">
        <v>345</v>
      </c>
    </row>
    <row r="21" spans="1:1" x14ac:dyDescent="0.3">
      <c r="A21" t="s">
        <v>16</v>
      </c>
    </row>
    <row r="22" spans="1:1" x14ac:dyDescent="0.3">
      <c r="A22" t="s">
        <v>16</v>
      </c>
    </row>
    <row r="23" spans="1:1" x14ac:dyDescent="0.3">
      <c r="A23" t="s">
        <v>346</v>
      </c>
    </row>
    <row r="24" spans="1:1" x14ac:dyDescent="0.3">
      <c r="A24" t="s">
        <v>16</v>
      </c>
    </row>
    <row r="25" spans="1:1" x14ac:dyDescent="0.3">
      <c r="A25" t="s">
        <v>16</v>
      </c>
    </row>
    <row r="26" spans="1:1" x14ac:dyDescent="0.3">
      <c r="A26" t="s">
        <v>347</v>
      </c>
    </row>
    <row r="27" spans="1:1" x14ac:dyDescent="0.3">
      <c r="A27" t="s">
        <v>16</v>
      </c>
    </row>
    <row r="28" spans="1:1" x14ac:dyDescent="0.3">
      <c r="A28" t="s">
        <v>16</v>
      </c>
    </row>
    <row r="29" spans="1:1" x14ac:dyDescent="0.3">
      <c r="A29" t="s">
        <v>348</v>
      </c>
    </row>
    <row r="30" spans="1:1" x14ac:dyDescent="0.3">
      <c r="A30" t="s">
        <v>349</v>
      </c>
    </row>
    <row r="31" spans="1:1" x14ac:dyDescent="0.3">
      <c r="A31" t="s">
        <v>350</v>
      </c>
    </row>
    <row r="32" spans="1:1" x14ac:dyDescent="0.3">
      <c r="A32" t="s">
        <v>351</v>
      </c>
    </row>
    <row r="33" spans="1:1" x14ac:dyDescent="0.3">
      <c r="A33" t="s">
        <v>352</v>
      </c>
    </row>
    <row r="34" spans="1:1" x14ac:dyDescent="0.3">
      <c r="A34" t="s">
        <v>353</v>
      </c>
    </row>
    <row r="35" spans="1:1" x14ac:dyDescent="0.3">
      <c r="A35" t="s">
        <v>354</v>
      </c>
    </row>
    <row r="36" spans="1:1" x14ac:dyDescent="0.3">
      <c r="A36" t="s">
        <v>16</v>
      </c>
    </row>
    <row r="37" spans="1:1" x14ac:dyDescent="0.3">
      <c r="A37" t="s">
        <v>16</v>
      </c>
    </row>
    <row r="38" spans="1:1" x14ac:dyDescent="0.3">
      <c r="A38" t="s">
        <v>355</v>
      </c>
    </row>
    <row r="39" spans="1:1" x14ac:dyDescent="0.3">
      <c r="A39" t="s">
        <v>356</v>
      </c>
    </row>
    <row r="40" spans="1:1" x14ac:dyDescent="0.3">
      <c r="A40" t="s">
        <v>357</v>
      </c>
    </row>
    <row r="41" spans="1:1" x14ac:dyDescent="0.3">
      <c r="A41" t="s">
        <v>358</v>
      </c>
    </row>
    <row r="42" spans="1:1" x14ac:dyDescent="0.3">
      <c r="A42" t="s">
        <v>359</v>
      </c>
    </row>
    <row r="43" spans="1:1" x14ac:dyDescent="0.3">
      <c r="A43" t="s">
        <v>360</v>
      </c>
    </row>
    <row r="44" spans="1:1" x14ac:dyDescent="0.3">
      <c r="A44" t="s">
        <v>361</v>
      </c>
    </row>
    <row r="45" spans="1:1" x14ac:dyDescent="0.3">
      <c r="A45" t="s">
        <v>362</v>
      </c>
    </row>
    <row r="46" spans="1:1" x14ac:dyDescent="0.3">
      <c r="A46" t="s">
        <v>363</v>
      </c>
    </row>
    <row r="47" spans="1:1" x14ac:dyDescent="0.3">
      <c r="A47" t="s">
        <v>364</v>
      </c>
    </row>
    <row r="48" spans="1:1" x14ac:dyDescent="0.3">
      <c r="A48" t="s">
        <v>365</v>
      </c>
    </row>
    <row r="49" spans="1:1" x14ac:dyDescent="0.3">
      <c r="A49" t="s">
        <v>366</v>
      </c>
    </row>
    <row r="50" spans="1:1" x14ac:dyDescent="0.3">
      <c r="A50" t="s">
        <v>367</v>
      </c>
    </row>
    <row r="51" spans="1:1" x14ac:dyDescent="0.3">
      <c r="A51" t="s">
        <v>368</v>
      </c>
    </row>
    <row r="52" spans="1:1" x14ac:dyDescent="0.3">
      <c r="A52" t="s">
        <v>16</v>
      </c>
    </row>
    <row r="53" spans="1:1" x14ac:dyDescent="0.3">
      <c r="A53" t="s">
        <v>16</v>
      </c>
    </row>
    <row r="54" spans="1:1" x14ac:dyDescent="0.3">
      <c r="A54" t="s">
        <v>369</v>
      </c>
    </row>
    <row r="55" spans="1:1" x14ac:dyDescent="0.3">
      <c r="A55" t="s">
        <v>16</v>
      </c>
    </row>
    <row r="56" spans="1:1" x14ac:dyDescent="0.3">
      <c r="A56" t="s">
        <v>16</v>
      </c>
    </row>
    <row r="57" spans="1:1" x14ac:dyDescent="0.3">
      <c r="A57" t="s">
        <v>370</v>
      </c>
    </row>
    <row r="58" spans="1:1" x14ac:dyDescent="0.3">
      <c r="A58" t="s">
        <v>16</v>
      </c>
    </row>
    <row r="59" spans="1:1" x14ac:dyDescent="0.3">
      <c r="A59" t="s">
        <v>16</v>
      </c>
    </row>
    <row r="60" spans="1:1" x14ac:dyDescent="0.3">
      <c r="A60" t="s">
        <v>371</v>
      </c>
    </row>
    <row r="61" spans="1:1" x14ac:dyDescent="0.3">
      <c r="A61" t="s">
        <v>372</v>
      </c>
    </row>
    <row r="62" spans="1:1" x14ac:dyDescent="0.3">
      <c r="A62" t="s">
        <v>373</v>
      </c>
    </row>
    <row r="63" spans="1:1" x14ac:dyDescent="0.3">
      <c r="A63" t="s">
        <v>374</v>
      </c>
    </row>
    <row r="64" spans="1:1" x14ac:dyDescent="0.3">
      <c r="A64" t="s">
        <v>16</v>
      </c>
    </row>
    <row r="65" spans="1:1" x14ac:dyDescent="0.3">
      <c r="A65" t="s">
        <v>16</v>
      </c>
    </row>
    <row r="66" spans="1:1" x14ac:dyDescent="0.3">
      <c r="A66" t="s">
        <v>179</v>
      </c>
    </row>
    <row r="67" spans="1:1" x14ac:dyDescent="0.3">
      <c r="A67" t="s">
        <v>375</v>
      </c>
    </row>
    <row r="68" spans="1:1" x14ac:dyDescent="0.3">
      <c r="A68" t="s">
        <v>376</v>
      </c>
    </row>
    <row r="69" spans="1:1" x14ac:dyDescent="0.3">
      <c r="A69" t="s">
        <v>377</v>
      </c>
    </row>
    <row r="70" spans="1:1" x14ac:dyDescent="0.3">
      <c r="A70" t="s">
        <v>378</v>
      </c>
    </row>
    <row r="71" spans="1:1" x14ac:dyDescent="0.3">
      <c r="A71" t="s">
        <v>379</v>
      </c>
    </row>
    <row r="72" spans="1:1" x14ac:dyDescent="0.3">
      <c r="A72" t="s">
        <v>380</v>
      </c>
    </row>
    <row r="73" spans="1:1" x14ac:dyDescent="0.3">
      <c r="A73">
        <v>102</v>
      </c>
    </row>
    <row r="74" spans="1:1" x14ac:dyDescent="0.3">
      <c r="A74">
        <v>629</v>
      </c>
    </row>
    <row r="75" spans="1:1" x14ac:dyDescent="0.3">
      <c r="A75" t="s">
        <v>381</v>
      </c>
    </row>
    <row r="76" spans="1:1" x14ac:dyDescent="0.3">
      <c r="A76" t="s">
        <v>382</v>
      </c>
    </row>
    <row r="77" spans="1:1" x14ac:dyDescent="0.3">
      <c r="A77" t="s">
        <v>383</v>
      </c>
    </row>
    <row r="78" spans="1:1" x14ac:dyDescent="0.3">
      <c r="A78" t="s">
        <v>384</v>
      </c>
    </row>
    <row r="79" spans="1:1" x14ac:dyDescent="0.3">
      <c r="A79" t="s">
        <v>385</v>
      </c>
    </row>
    <row r="80" spans="1:1" x14ac:dyDescent="0.3">
      <c r="A80" t="s">
        <v>386</v>
      </c>
    </row>
    <row r="81" spans="1:1" x14ac:dyDescent="0.3">
      <c r="A81" t="s">
        <v>387</v>
      </c>
    </row>
    <row r="82" spans="1:1" x14ac:dyDescent="0.3">
      <c r="A82" t="s">
        <v>388</v>
      </c>
    </row>
    <row r="83" spans="1:1" x14ac:dyDescent="0.3">
      <c r="A83" t="s">
        <v>389</v>
      </c>
    </row>
    <row r="84" spans="1:1" x14ac:dyDescent="0.3">
      <c r="A84" t="s">
        <v>390</v>
      </c>
    </row>
    <row r="85" spans="1:1" x14ac:dyDescent="0.3">
      <c r="A85" t="s">
        <v>391</v>
      </c>
    </row>
    <row r="86" spans="1:1" x14ac:dyDescent="0.3">
      <c r="A86" t="s">
        <v>392</v>
      </c>
    </row>
    <row r="87" spans="1:1" x14ac:dyDescent="0.3">
      <c r="A87" t="s">
        <v>393</v>
      </c>
    </row>
    <row r="88" spans="1:1" x14ac:dyDescent="0.3">
      <c r="A88" t="s">
        <v>394</v>
      </c>
    </row>
    <row r="89" spans="1:1" x14ac:dyDescent="0.3">
      <c r="A89" t="s">
        <v>395</v>
      </c>
    </row>
    <row r="90" spans="1:1" x14ac:dyDescent="0.3">
      <c r="A90" t="s">
        <v>396</v>
      </c>
    </row>
    <row r="91" spans="1:1" x14ac:dyDescent="0.3">
      <c r="A91" t="s">
        <v>186</v>
      </c>
    </row>
    <row r="92" spans="1:1" x14ac:dyDescent="0.3">
      <c r="A92" t="s">
        <v>397</v>
      </c>
    </row>
    <row r="93" spans="1:1" x14ac:dyDescent="0.3">
      <c r="A93" t="s">
        <v>398</v>
      </c>
    </row>
    <row r="94" spans="1:1" x14ac:dyDescent="0.3">
      <c r="A94" t="s">
        <v>399</v>
      </c>
    </row>
    <row r="95" spans="1:1" x14ac:dyDescent="0.3">
      <c r="A95" t="s">
        <v>400</v>
      </c>
    </row>
    <row r="96" spans="1:1" x14ac:dyDescent="0.3">
      <c r="A96" t="s">
        <v>401</v>
      </c>
    </row>
    <row r="97" spans="1:1" x14ac:dyDescent="0.3">
      <c r="A97" t="s">
        <v>402</v>
      </c>
    </row>
    <row r="98" spans="1:1" x14ac:dyDescent="0.3">
      <c r="A98" t="s">
        <v>403</v>
      </c>
    </row>
    <row r="99" spans="1:1" x14ac:dyDescent="0.3">
      <c r="A99" t="s">
        <v>404</v>
      </c>
    </row>
    <row r="100" spans="1:1" x14ac:dyDescent="0.3">
      <c r="A100" t="s">
        <v>405</v>
      </c>
    </row>
    <row r="101" spans="1:1" x14ac:dyDescent="0.3">
      <c r="A101" t="s">
        <v>406</v>
      </c>
    </row>
    <row r="102" spans="1:1" x14ac:dyDescent="0.3">
      <c r="A102" t="s">
        <v>407</v>
      </c>
    </row>
    <row r="103" spans="1:1" x14ac:dyDescent="0.3">
      <c r="A103">
        <v>928</v>
      </c>
    </row>
    <row r="104" spans="1:1" x14ac:dyDescent="0.3">
      <c r="A104">
        <v>793</v>
      </c>
    </row>
    <row r="105" spans="1:1" x14ac:dyDescent="0.3">
      <c r="A105" t="s">
        <v>408</v>
      </c>
    </row>
    <row r="106" spans="1:1" x14ac:dyDescent="0.3">
      <c r="A106" t="s">
        <v>409</v>
      </c>
    </row>
    <row r="107" spans="1:1" x14ac:dyDescent="0.3">
      <c r="A107" t="s">
        <v>410</v>
      </c>
    </row>
    <row r="108" spans="1:1" x14ac:dyDescent="0.3">
      <c r="A108" t="s">
        <v>411</v>
      </c>
    </row>
    <row r="109" spans="1:1" x14ac:dyDescent="0.3">
      <c r="A109" t="s">
        <v>412</v>
      </c>
    </row>
    <row r="110" spans="1:1" x14ac:dyDescent="0.3">
      <c r="A110" t="s">
        <v>413</v>
      </c>
    </row>
    <row r="111" spans="1:1" x14ac:dyDescent="0.3">
      <c r="A111" t="s">
        <v>414</v>
      </c>
    </row>
    <row r="112" spans="1:1" x14ac:dyDescent="0.3">
      <c r="A112" t="s">
        <v>415</v>
      </c>
    </row>
    <row r="113" spans="1:1" x14ac:dyDescent="0.3">
      <c r="A113" t="s">
        <v>416</v>
      </c>
    </row>
    <row r="114" spans="1:1" x14ac:dyDescent="0.3">
      <c r="A114" t="s">
        <v>417</v>
      </c>
    </row>
    <row r="115" spans="1:1" x14ac:dyDescent="0.3">
      <c r="A115" t="s">
        <v>418</v>
      </c>
    </row>
    <row r="116" spans="1:1" x14ac:dyDescent="0.3">
      <c r="A116" t="s">
        <v>419</v>
      </c>
    </row>
    <row r="117" spans="1:1" x14ac:dyDescent="0.3">
      <c r="A117" t="s">
        <v>420</v>
      </c>
    </row>
    <row r="118" spans="1:1" x14ac:dyDescent="0.3">
      <c r="A118" t="s">
        <v>421</v>
      </c>
    </row>
    <row r="119" spans="1:1" x14ac:dyDescent="0.3">
      <c r="A119" t="s">
        <v>422</v>
      </c>
    </row>
    <row r="120" spans="1:1" x14ac:dyDescent="0.3">
      <c r="A120" t="s">
        <v>423</v>
      </c>
    </row>
    <row r="121" spans="1:1" x14ac:dyDescent="0.3">
      <c r="A121" t="s">
        <v>424</v>
      </c>
    </row>
    <row r="122" spans="1:1" x14ac:dyDescent="0.3">
      <c r="A122" t="s">
        <v>425</v>
      </c>
    </row>
    <row r="123" spans="1:1" x14ac:dyDescent="0.3">
      <c r="A123" t="s">
        <v>426</v>
      </c>
    </row>
    <row r="124" spans="1:1" x14ac:dyDescent="0.3">
      <c r="A124" t="s">
        <v>427</v>
      </c>
    </row>
    <row r="125" spans="1:1" x14ac:dyDescent="0.3">
      <c r="A125" t="s">
        <v>428</v>
      </c>
    </row>
    <row r="126" spans="1:1" x14ac:dyDescent="0.3">
      <c r="A126" t="s">
        <v>16</v>
      </c>
    </row>
    <row r="127" spans="1:1" x14ac:dyDescent="0.3">
      <c r="A127">
        <v>1</v>
      </c>
    </row>
    <row r="128" spans="1:1" x14ac:dyDescent="0.3">
      <c r="A128" t="s">
        <v>429</v>
      </c>
    </row>
    <row r="129" spans="1:1" x14ac:dyDescent="0.3">
      <c r="A129" t="s">
        <v>430</v>
      </c>
    </row>
    <row r="130" spans="1:1" x14ac:dyDescent="0.3">
      <c r="A130" t="s">
        <v>431</v>
      </c>
    </row>
    <row r="131" spans="1:1" x14ac:dyDescent="0.3">
      <c r="A131" t="s">
        <v>432</v>
      </c>
    </row>
    <row r="132" spans="1:1" x14ac:dyDescent="0.3">
      <c r="A132" t="s">
        <v>433</v>
      </c>
    </row>
    <row r="133" spans="1:1" x14ac:dyDescent="0.3">
      <c r="A133" t="s">
        <v>434</v>
      </c>
    </row>
    <row r="134" spans="1:1" x14ac:dyDescent="0.3">
      <c r="A134" t="s">
        <v>435</v>
      </c>
    </row>
    <row r="135" spans="1:1" x14ac:dyDescent="0.3">
      <c r="A135" t="s">
        <v>436</v>
      </c>
    </row>
    <row r="136" spans="1:1" x14ac:dyDescent="0.3">
      <c r="A136" t="s">
        <v>437</v>
      </c>
    </row>
    <row r="137" spans="1:1" x14ac:dyDescent="0.3">
      <c r="A137" t="s">
        <v>438</v>
      </c>
    </row>
    <row r="138" spans="1:1" x14ac:dyDescent="0.3">
      <c r="A138" t="s">
        <v>326</v>
      </c>
    </row>
    <row r="139" spans="1:1" x14ac:dyDescent="0.3">
      <c r="A139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2026-01-29T17:50:37Z</dcterms:modified>
</cp:coreProperties>
</file>
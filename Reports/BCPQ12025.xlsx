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Projects\BankData\Output\"/>
    </mc:Choice>
  </mc:AlternateContent>
  <xr:revisionPtr revIDLastSave="0" documentId="13_ncr:1_{3777CC74-70F4-4028-9306-CF1EF0C7D6A9}" xr6:coauthVersionLast="47" xr6:coauthVersionMax="47" xr10:uidLastSave="{00000000-0000-0000-0000-000000000000}"/>
  <bookViews>
    <workbookView xWindow="-108" yWindow="-108" windowWidth="23256" windowHeight="12576" firstSheet="1" activeTab="5" xr2:uid="{00000000-000D-0000-FFFF-FFFF00000000}"/>
  </bookViews>
  <sheets>
    <sheet name="ConsolidatedAssets" sheetId="1" r:id="rId1"/>
    <sheet name="ConsolidatedLiabilities" sheetId="2" r:id="rId2"/>
    <sheet name="ConsolidatedIncomeStatement" sheetId="3" r:id="rId3"/>
    <sheet name="Assets" sheetId="4" r:id="rId4"/>
    <sheet name="Liabilities" sheetId="5" r:id="rId5"/>
    <sheet name="IncomeStatemen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5" i="2" l="1" a="1"/>
  <c r="A75" i="2" s="1"/>
  <c r="A54" i="2" a="1"/>
  <c r="A54" i="2" s="1"/>
  <c r="A57" i="2" a="1"/>
  <c r="A57" i="2" s="1"/>
  <c r="A63" i="2" a="1"/>
  <c r="A63" i="2" s="1"/>
  <c r="A66" i="2" a="1"/>
  <c r="A66" i="2" s="1"/>
  <c r="A72" i="2" a="1"/>
  <c r="A7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<sst xmlns="http://schemas.openxmlformats.org/spreadsheetml/2006/main" count="593" uniqueCount="511">
  <si>
    <t>ACTIF CONSOLIDÉ IFRS</t>
  </si>
  <si>
    <t>31/03/2025</t>
  </si>
  <si>
    <t>31/12/2024</t>
  </si>
  <si>
    <t>Valeurs en caisse, Banques Centrales, Trésor public, Service des chèques postaux</t>
  </si>
  <si>
    <t>16 778 211</t>
  </si>
  <si>
    <t>20 240 625</t>
  </si>
  <si>
    <t>Actifs financiers à la juste valeur par résultat</t>
  </si>
  <si>
    <t>108 494 489</t>
  </si>
  <si>
    <t>103 426 956</t>
  </si>
  <si>
    <t>Actifs financiers détenus à des fins de transactions</t>
  </si>
  <si>
    <t>75 467 383</t>
  </si>
  <si>
    <t>71 114 649</t>
  </si>
  <si>
    <t>Autres actifs financiers à la juste valeur par résultat</t>
  </si>
  <si>
    <t>33 027 106</t>
  </si>
  <si>
    <t>32 312 307</t>
  </si>
  <si>
    <t>Instruments dérivés de couverture</t>
  </si>
  <si>
    <t>Actifs financiers à la juste valeur par capitaux propres</t>
  </si>
  <si>
    <t>35 438 702</t>
  </si>
  <si>
    <t>36 028 396</t>
  </si>
  <si>
    <t>Instruments de dettes comptabilisés à la juste valeur par capitaux propres</t>
  </si>
  <si>
    <t>recyclables</t>
  </si>
  <si>
    <t>27 208 453</t>
  </si>
  <si>
    <t>28 070 276</t>
  </si>
  <si>
    <t>Instruments de capitaux propres comptabilisés à la juste valeur par capitaux</t>
  </si>
  <si>
    <t>propres non recyclables</t>
  </si>
  <si>
    <t>8 230 249</t>
  </si>
  <si>
    <t>7 958 120</t>
  </si>
  <si>
    <t>Titres au coût amorti</t>
  </si>
  <si>
    <t>29 749 030</t>
  </si>
  <si>
    <t>30 251 624</t>
  </si>
  <si>
    <t>Prêts et créances sur les établissements de crédit et assimilés, au coût amorti</t>
  </si>
  <si>
    <t>35 824 838</t>
  </si>
  <si>
    <t>27 610 227</t>
  </si>
  <si>
    <t>Prêts et créances sur la clientèle, au coût amorti</t>
  </si>
  <si>
    <t>287 285 990</t>
  </si>
  <si>
    <t>287 240 813</t>
  </si>
  <si>
    <t>Écart de réévaluation actif des portefeuilles couverts en taux</t>
  </si>
  <si>
    <t>Placements des activités d'assurance</t>
  </si>
  <si>
    <t>2 648 629</t>
  </si>
  <si>
    <t>2 274 792</t>
  </si>
  <si>
    <t>Actifs des contrats d'assurance</t>
  </si>
  <si>
    <t>311 060</t>
  </si>
  <si>
    <t>256 979</t>
  </si>
  <si>
    <t>Actifs d'impôt exigible</t>
  </si>
  <si>
    <t>1 935 095</t>
  </si>
  <si>
    <t>1 616 954</t>
  </si>
  <si>
    <t>Actifs d'impôt différé</t>
  </si>
  <si>
    <t>5 362 470</t>
  </si>
  <si>
    <t>4 943 941</t>
  </si>
  <si>
    <t>Comptes de régularisation et autres actifs</t>
  </si>
  <si>
    <t>8 361 043</t>
  </si>
  <si>
    <t>8 307 858</t>
  </si>
  <si>
    <t>Actifs non courants destinés à être cédés</t>
  </si>
  <si>
    <t>Participations dans des entreprises mises en équivalence</t>
  </si>
  <si>
    <t>30 403</t>
  </si>
  <si>
    <t>29 649</t>
  </si>
  <si>
    <t>Immeubles de placement</t>
  </si>
  <si>
    <t>6 054 962</t>
  </si>
  <si>
    <t>6 131 612</t>
  </si>
  <si>
    <t>Immobilisations corporelles</t>
  </si>
  <si>
    <t>10 663 329</t>
  </si>
  <si>
    <t>10 471 360</t>
  </si>
  <si>
    <t>Immobilisations incorporelles</t>
  </si>
  <si>
    <t>1 080 757</t>
  </si>
  <si>
    <t>1 103 036</t>
  </si>
  <si>
    <t>Écarts d'acquisition</t>
  </si>
  <si>
    <t>2 318 976</t>
  </si>
  <si>
    <t>2 343 738</t>
  </si>
  <si>
    <t>TOTAL ACTIF IFRS</t>
  </si>
  <si>
    <t xml:space="preserve">552 337 984 </t>
  </si>
  <si>
    <t>542 278 560</t>
  </si>
  <si>
    <t>PASSIF CONSOLIDÉ IFRS</t>
  </si>
  <si>
    <t>Banques centrales, Trésor public, Service des chèques postaux</t>
  </si>
  <si>
    <t>7 855</t>
  </si>
  <si>
    <t>7 553</t>
  </si>
  <si>
    <t>Passifs financiers à la juste valeur par résultat</t>
  </si>
  <si>
    <t>Passifs financiers détenus à des fins de transaction</t>
  </si>
  <si>
    <t>Passifs financiers à la juste valeur par résultat sur option</t>
  </si>
  <si>
    <t>Dettes envers les Etablissements de crédit et assimilés</t>
  </si>
  <si>
    <t>50 870 195</t>
  </si>
  <si>
    <t>49 566 074</t>
  </si>
  <si>
    <t>Dettes envers la clientèle</t>
  </si>
  <si>
    <t>395 716 901</t>
  </si>
  <si>
    <t>388 991 374</t>
  </si>
  <si>
    <t>Dettes repréentées par un titre</t>
  </si>
  <si>
    <t>Titres de créance émis</t>
  </si>
  <si>
    <t>404 089</t>
  </si>
  <si>
    <t>401 080</t>
  </si>
  <si>
    <t>Ecart de réévaluation passif des portefeuilles couverts en taux</t>
  </si>
  <si>
    <t>Passifs d'impôt courant</t>
  </si>
  <si>
    <t>3 180 980</t>
  </si>
  <si>
    <t>4 212 351</t>
  </si>
  <si>
    <t>Passifs d'impôt différé</t>
  </si>
  <si>
    <t>1 090 173</t>
  </si>
  <si>
    <t>1 047 434</t>
  </si>
  <si>
    <t>Comptes de régularisation et autres passifs</t>
  </si>
  <si>
    <t>15 585 411</t>
  </si>
  <si>
    <t>14 956 553</t>
  </si>
  <si>
    <t>Dettes liées aux actifs non courants destinés à être cédés</t>
  </si>
  <si>
    <t>Passifs des contrats d'assurance</t>
  </si>
  <si>
    <t>2 971 380</t>
  </si>
  <si>
    <t>2 577 887</t>
  </si>
  <si>
    <t>Provisions pour risques et charges</t>
  </si>
  <si>
    <t>8 233 932</t>
  </si>
  <si>
    <t>7 808 025</t>
  </si>
  <si>
    <t>Subventions, fonds publics affectés et fonds spéciaux de garantie</t>
  </si>
  <si>
    <t>4 141 290</t>
  </si>
  <si>
    <t>4 025 107</t>
  </si>
  <si>
    <t>Dettes subordonnées</t>
  </si>
  <si>
    <t>11 747 624</t>
  </si>
  <si>
    <t>11 517 811</t>
  </si>
  <si>
    <t>Capitaux propres</t>
  </si>
  <si>
    <t>58 388 154</t>
  </si>
  <si>
    <t>57 167 311</t>
  </si>
  <si>
    <t>Capital et réserves liées</t>
  </si>
  <si>
    <t>33 378 190</t>
  </si>
  <si>
    <t>30 438 267</t>
  </si>
  <si>
    <t>Actions propres</t>
  </si>
  <si>
    <t>Réserves consolidées</t>
  </si>
  <si>
    <t>24 502 132</t>
  </si>
  <si>
    <t>22 621 683</t>
  </si>
  <si>
    <t>4 358 610</t>
  </si>
  <si>
    <t>3 070 328</t>
  </si>
  <si>
    <t>20 143 522</t>
  </si>
  <si>
    <t>19 551 355</t>
  </si>
  <si>
    <t>Gains ou pertes comptabilisés directement en capitaux propres</t>
  </si>
  <si>
    <t>-984 659</t>
  </si>
  <si>
    <t>-859 201</t>
  </si>
  <si>
    <t>-681 866</t>
  </si>
  <si>
    <t>-610 092</t>
  </si>
  <si>
    <t>-302 793</t>
  </si>
  <si>
    <t>-249 109</t>
  </si>
  <si>
    <t>Résultat net de l’exercice</t>
  </si>
  <si>
    <t>1 492 491</t>
  </si>
  <si>
    <t>4 966 562</t>
  </si>
  <si>
    <t>1 292 654</t>
  </si>
  <si>
    <t>4 145 346</t>
  </si>
  <si>
    <t>199 837</t>
  </si>
  <si>
    <t>821 216</t>
  </si>
  <si>
    <t>TOTAL PASSIF IFRS</t>
  </si>
  <si>
    <t>552 337 984</t>
  </si>
  <si>
    <t>COMPTE DE RÉSULTAT</t>
  </si>
  <si>
    <t>31/03/2024</t>
  </si>
  <si>
    <t>Intérêts et produits assimilés</t>
  </si>
  <si>
    <t>5 291 799</t>
  </si>
  <si>
    <t>5 264 757</t>
  </si>
  <si>
    <t>Intérêts et charges assimilés</t>
  </si>
  <si>
    <t>-1 535 498</t>
  </si>
  <si>
    <t>-1 606 862</t>
  </si>
  <si>
    <t>MARGE D'INTÉRÊTS</t>
  </si>
  <si>
    <t>3 756 301</t>
  </si>
  <si>
    <t>3 657 895</t>
  </si>
  <si>
    <t>Commissions perçues</t>
  </si>
  <si>
    <t>1 164 721</t>
  </si>
  <si>
    <t>1 116 360</t>
  </si>
  <si>
    <t>Commissions servies</t>
  </si>
  <si>
    <t>-151 212</t>
  </si>
  <si>
    <t>-129 608</t>
  </si>
  <si>
    <t>MARGE SUR COMMISSIONS</t>
  </si>
  <si>
    <t>1 013 509</t>
  </si>
  <si>
    <t>986 752</t>
  </si>
  <si>
    <t>+/- Gains ou pertes nets résultant des couvertures de position nette</t>
  </si>
  <si>
    <t>+/- Gains ou pertes nets des instruments financiers à la juste valeur par résultat</t>
  </si>
  <si>
    <t>1 936 848</t>
  </si>
  <si>
    <t>1 185 480</t>
  </si>
  <si>
    <t>Gains ou pertes nets sur actifs/passifs de transaction</t>
  </si>
  <si>
    <t>1 704 132</t>
  </si>
  <si>
    <t>1 095 864</t>
  </si>
  <si>
    <t>Gains ou pertes nets sur autres actifs/passifs à la juste valeur par résultat</t>
  </si>
  <si>
    <t>232 716</t>
  </si>
  <si>
    <t>89 616</t>
  </si>
  <si>
    <t>+/- Gains ou pertes nets des instruments financiers à la juste valeur par capitaux propres</t>
  </si>
  <si>
    <t>10 396</t>
  </si>
  <si>
    <t>9 805</t>
  </si>
  <si>
    <t>Gains ou pertes nets sur instruments de dettes comptabilisés en capitaux propres recyclables</t>
  </si>
  <si>
    <t>-1 915</t>
  </si>
  <si>
    <t>Rémunération des instruments de capitaux propres comptabilisés en capitaux propres non recyclables (dividendes)</t>
  </si>
  <si>
    <t>12 311</t>
  </si>
  <si>
    <t>9 784</t>
  </si>
  <si>
    <t>+/- Gains ou pertes nets résultant de la décomptabilisation d’actifs financiers au coût amorti</t>
  </si>
  <si>
    <t>+/- Gains ou pertes nets résultant du reclassement d’actifs financiers au coût amorti en actifs financiers à la juste valeur par résultat</t>
  </si>
  <si>
    <t>+/- Gains ou pertes nets résultant du reclassement d’actifs financiers à la juste valeur par capitaux propres en actifs financiers à la juste valeur par résultat</t>
  </si>
  <si>
    <t>RÉSULTAT DES ACTIVITÉS DE MARCHE</t>
  </si>
  <si>
    <t>1 947 244</t>
  </si>
  <si>
    <t>1 195 285</t>
  </si>
  <si>
    <t>Produits des autres activités</t>
  </si>
  <si>
    <t>139 278</t>
  </si>
  <si>
    <t>162 414</t>
  </si>
  <si>
    <t>Charges des autres activités</t>
  </si>
  <si>
    <t>-35 946</t>
  </si>
  <si>
    <t>-72 705</t>
  </si>
  <si>
    <t>PRODUITS NETS DES ACTIVITÉS D'ASSURANCE</t>
  </si>
  <si>
    <t>128 545</t>
  </si>
  <si>
    <t>119 117</t>
  </si>
  <si>
    <t>PRODUIT NET BANCAIRE</t>
  </si>
  <si>
    <t>6 948 931</t>
  </si>
  <si>
    <t>6 048 758</t>
  </si>
  <si>
    <t>Charges générales d'exploitation</t>
  </si>
  <si>
    <t>-2 507 696</t>
  </si>
  <si>
    <t>-2 419 066</t>
  </si>
  <si>
    <t>Dotations aux amortissements et aux dépréciations des immobilisations incorporelles et corporelles</t>
  </si>
  <si>
    <t>-345 055</t>
  </si>
  <si>
    <t>-341 825</t>
  </si>
  <si>
    <t>RÉSULTAT BRUT D'EXPLOITATION</t>
  </si>
  <si>
    <t>4 096 180</t>
  </si>
  <si>
    <t>3 287 867</t>
  </si>
  <si>
    <t>Coût du risque</t>
  </si>
  <si>
    <t>-1 548 463</t>
  </si>
  <si>
    <t>-1 294 645</t>
  </si>
  <si>
    <t>RÉSULTAT D'EXPLOITATION</t>
  </si>
  <si>
    <t>2 547 717</t>
  </si>
  <si>
    <t>1 993 222</t>
  </si>
  <si>
    <t>Quote-part du résultat net des entreprises mises en équivalence</t>
  </si>
  <si>
    <t>-49 995</t>
  </si>
  <si>
    <t>-10 056</t>
  </si>
  <si>
    <t>Gains ou pertes nets sur autres actifs</t>
  </si>
  <si>
    <t>-20 340</t>
  </si>
  <si>
    <t>24 285</t>
  </si>
  <si>
    <t>Variations de valeurs des écarts d'acquisition</t>
  </si>
  <si>
    <t>RÉSULTAT AVANT IMPÔTS</t>
  </si>
  <si>
    <t>2 477 382</t>
  </si>
  <si>
    <t>2 007 451</t>
  </si>
  <si>
    <t>Impôts sur les bénéfices</t>
  </si>
  <si>
    <t>-984 891</t>
  </si>
  <si>
    <t>-752 538</t>
  </si>
  <si>
    <t>RÉSULTAT NET</t>
  </si>
  <si>
    <t>1 254 913</t>
  </si>
  <si>
    <t>Intérêts minoritaires</t>
  </si>
  <si>
    <t>168 821</t>
  </si>
  <si>
    <t>RÉSULTAT NET-PART DU GROUPE</t>
  </si>
  <si>
    <t>1 086 092</t>
  </si>
  <si>
    <t>Résultat par action ( en dirham)</t>
  </si>
  <si>
    <t>6,36</t>
  </si>
  <si>
    <t>5,34</t>
  </si>
  <si>
    <t>Résultat dilué par action ( en dirham)</t>
  </si>
  <si>
    <t>ACTIF</t>
  </si>
  <si>
    <t>Valeurs en caisse, Banques centrales, Trésor public, Service des chèques postaux</t>
  </si>
  <si>
    <t>3 390 885</t>
  </si>
  <si>
    <t>5 654 281</t>
  </si>
  <si>
    <t>Créances sur les établissements de crédit et assimilés</t>
  </si>
  <si>
    <t>59 287 553</t>
  </si>
  <si>
    <t>53 723 517</t>
  </si>
  <si>
    <t>A vue</t>
  </si>
  <si>
    <t>8 741 324</t>
  </si>
  <si>
    <t>7 657 592</t>
  </si>
  <si>
    <t>A terme</t>
  </si>
  <si>
    <t>50 546 229</t>
  </si>
  <si>
    <t>46 065 925</t>
  </si>
  <si>
    <t>Créances sur la clientèle</t>
  </si>
  <si>
    <t>117 182 756</t>
  </si>
  <si>
    <t>112 906 491</t>
  </si>
  <si>
    <t>Crédits et financements participatifs de trésorerie et à la consommation</t>
  </si>
  <si>
    <t>29 937 756</t>
  </si>
  <si>
    <t>31 028 873</t>
  </si>
  <si>
    <t>Crédits et financements participatifs à l'équipement</t>
  </si>
  <si>
    <t>38 438 710</t>
  </si>
  <si>
    <t>37 663 569</t>
  </si>
  <si>
    <t>Crédits et financements participatifs immobiliers</t>
  </si>
  <si>
    <t>21 442 209</t>
  </si>
  <si>
    <t>21 664 483</t>
  </si>
  <si>
    <t>Autres crédits et financements participatifs</t>
  </si>
  <si>
    <t>27 364 081</t>
  </si>
  <si>
    <t>22 549 566</t>
  </si>
  <si>
    <t>Créances acquises par affacturage</t>
  </si>
  <si>
    <t>5 866 609</t>
  </si>
  <si>
    <t>6 972 718</t>
  </si>
  <si>
    <t>Titres de transaction et de placement</t>
  </si>
  <si>
    <t>94 528 925</t>
  </si>
  <si>
    <t>91 663 549</t>
  </si>
  <si>
    <t>Bons du Trésor et valeurs assimilées</t>
  </si>
  <si>
    <t>47 107 360</t>
  </si>
  <si>
    <t>44 588 789</t>
  </si>
  <si>
    <t>Autres titres de créance</t>
  </si>
  <si>
    <t>817 694</t>
  </si>
  <si>
    <t>852 685</t>
  </si>
  <si>
    <t>Titres de propriété</t>
  </si>
  <si>
    <t>46 603 871</t>
  </si>
  <si>
    <t>46 222 075</t>
  </si>
  <si>
    <t>Certificats de Sukuks</t>
  </si>
  <si>
    <t>-</t>
  </si>
  <si>
    <t>Autres actifs</t>
  </si>
  <si>
    <t>6 848 683</t>
  </si>
  <si>
    <t>5 808 997</t>
  </si>
  <si>
    <t>Titres d'investissement</t>
  </si>
  <si>
    <t>31 138 133</t>
  </si>
  <si>
    <t>31 562 486</t>
  </si>
  <si>
    <t>29 121 662</t>
  </si>
  <si>
    <t>29 540 786</t>
  </si>
  <si>
    <t>2 016 471</t>
  </si>
  <si>
    <t>2 021 700</t>
  </si>
  <si>
    <t>Titres de participation et emplois assimilés</t>
  </si>
  <si>
    <t>32 148 467</t>
  </si>
  <si>
    <t>32 187 519</t>
  </si>
  <si>
    <t>Participation dans les entreprises liées</t>
  </si>
  <si>
    <t>29 613 820</t>
  </si>
  <si>
    <t>29 681 247</t>
  </si>
  <si>
    <t>Autres titres de participation et emplois assimilés</t>
  </si>
  <si>
    <t>2 534 647</t>
  </si>
  <si>
    <t>2 506 272</t>
  </si>
  <si>
    <t>Titres de Moudaraba et Moucharaka</t>
  </si>
  <si>
    <t>Créances subordonnées</t>
  </si>
  <si>
    <t>153 004</t>
  </si>
  <si>
    <t>151 370</t>
  </si>
  <si>
    <t>Dépôts d'investissement placés</t>
  </si>
  <si>
    <t>2 591 129</t>
  </si>
  <si>
    <t>2 254 100</t>
  </si>
  <si>
    <t>Immobilisations données en crédit-bail et en location</t>
  </si>
  <si>
    <t>3 187</t>
  </si>
  <si>
    <t>3 227</t>
  </si>
  <si>
    <t>Immobilisations données en Ijara</t>
  </si>
  <si>
    <t>389 832</t>
  </si>
  <si>
    <t>400 727</t>
  </si>
  <si>
    <t>2 665 494</t>
  </si>
  <si>
    <t>2 686 750</t>
  </si>
  <si>
    <t>TOTAL DE L’ACTIF</t>
  </si>
  <si>
    <t>356 195 075</t>
  </si>
  <si>
    <t>345 976 160</t>
  </si>
  <si>
    <t>PASSIF</t>
  </si>
  <si>
    <t>Dettes envers les établissements de crédit et assimilés</t>
  </si>
  <si>
    <t>209 493 600</t>
  </si>
  <si>
    <t>204 734 678</t>
  </si>
  <si>
    <t>176 772 502</t>
  </si>
  <si>
    <t>171 184 355</t>
  </si>
  <si>
    <t>32 721 098</t>
  </si>
  <si>
    <t>33 550 323</t>
  </si>
  <si>
    <t>Dépôts de la clientèle</t>
  </si>
  <si>
    <t>85 391 347</t>
  </si>
  <si>
    <t>80 455 173</t>
  </si>
  <si>
    <t>Comptes à vue créditeurs</t>
  </si>
  <si>
    <t>63 261 094</t>
  </si>
  <si>
    <t>60 490 315</t>
  </si>
  <si>
    <t>Comptes d'épargne</t>
  </si>
  <si>
    <t>8 754 394</t>
  </si>
  <si>
    <t>8 723 490</t>
  </si>
  <si>
    <t>Dépôts à terme</t>
  </si>
  <si>
    <t>7 130 599</t>
  </si>
  <si>
    <t>7 553 818</t>
  </si>
  <si>
    <t>Autres comptes créditeurs</t>
  </si>
  <si>
    <t>6 245 260</t>
  </si>
  <si>
    <t>3 687 550</t>
  </si>
  <si>
    <t>Dettes envers la clientèle sur produits participatifs</t>
  </si>
  <si>
    <t>Titres de créance négociables émis</t>
  </si>
  <si>
    <t>Emprunts obligataires émis</t>
  </si>
  <si>
    <t>Autres titres de créance émis</t>
  </si>
  <si>
    <t>Autres passifs</t>
  </si>
  <si>
    <t>4 104 078</t>
  </si>
  <si>
    <t>5 202 617</t>
  </si>
  <si>
    <t>6 996 170</t>
  </si>
  <si>
    <t>6 595 374</t>
  </si>
  <si>
    <t>Provisions réglementées</t>
  </si>
  <si>
    <t>4 089 251</t>
  </si>
  <si>
    <t>3 977 271</t>
  </si>
  <si>
    <t>11 744 107</t>
  </si>
  <si>
    <t>11 632 845</t>
  </si>
  <si>
    <t>Dépôts d'investissement reçus</t>
  </si>
  <si>
    <t>Ecarts de réévaluation</t>
  </si>
  <si>
    <t>Réserves et primes liées au capital</t>
  </si>
  <si>
    <t>27 767 777</t>
  </si>
  <si>
    <t>Capital</t>
  </si>
  <si>
    <t>2 033 125</t>
  </si>
  <si>
    <t>Actionnaires. Capital non versé (-)</t>
  </si>
  <si>
    <t>Report à nouveau (+/-)</t>
  </si>
  <si>
    <t>637 366</t>
  </si>
  <si>
    <t>Résultats nets en instance d'affectation (+/-)</t>
  </si>
  <si>
    <t>2 939 923</t>
  </si>
  <si>
    <t>Résultat net de l'exercice (+/-)</t>
  </si>
  <si>
    <t>998 320</t>
  </si>
  <si>
    <t>TOTAL DU PASSIF</t>
  </si>
  <si>
    <t>ENGAGEMENTS DONNES</t>
  </si>
  <si>
    <t>53 028 512</t>
  </si>
  <si>
    <t>50 737 992</t>
  </si>
  <si>
    <t>Engagements de financement donnés en faveur d'établissements de crédit et assimilés</t>
  </si>
  <si>
    <t>2 095 736</t>
  </si>
  <si>
    <t>1 445 704</t>
  </si>
  <si>
    <t>Engagements de financement donnés en faveur de la clientèle</t>
  </si>
  <si>
    <t>29 463 125</t>
  </si>
  <si>
    <t>27 137 083</t>
  </si>
  <si>
    <t>Engagements de garantie d'ordre d'établissements de crédit et assimilés</t>
  </si>
  <si>
    <t>10 447 644</t>
  </si>
  <si>
    <t>11 426 974</t>
  </si>
  <si>
    <t>Engagements de garantie d'ordre de la clientèle</t>
  </si>
  <si>
    <t>11 022 007</t>
  </si>
  <si>
    <t>10 724 696</t>
  </si>
  <si>
    <t>Titres achetés à réméré</t>
  </si>
  <si>
    <t>Autres titres à livrer</t>
  </si>
  <si>
    <t>3 535</t>
  </si>
  <si>
    <t>ENGAGEMENTS RECUS</t>
  </si>
  <si>
    <t>26 472 864</t>
  </si>
  <si>
    <t>26 915 642</t>
  </si>
  <si>
    <t>Engagements de financement reçus d'établissements de crédit et assimilés</t>
  </si>
  <si>
    <t>1 455</t>
  </si>
  <si>
    <t>Engagements de garantie reçus d'établissements de crédit et assimilés</t>
  </si>
  <si>
    <t>18 323 593</t>
  </si>
  <si>
    <t>19 120 365</t>
  </si>
  <si>
    <t>Engagements de garantie reçus de l'Etat et d'organismes de garantie divers</t>
  </si>
  <si>
    <t>8 147 816</t>
  </si>
  <si>
    <t>7 793 822</t>
  </si>
  <si>
    <t>Titres vendus à réméré</t>
  </si>
  <si>
    <t>Autres titres à recevoir</t>
  </si>
  <si>
    <t>Titres de Moucharaka et Moudaraba à recevoir</t>
  </si>
  <si>
    <t>COMPTE DE PRODUITS ET CHARGES</t>
  </si>
  <si>
    <t>(en milliers de DH)</t>
  </si>
  <si>
    <t>PRODUITS D'EXPLOITATION BANCAIRE</t>
  </si>
  <si>
    <t>4 878 072</t>
  </si>
  <si>
    <t>3 791 291</t>
  </si>
  <si>
    <t>Intérêts, rémunérations et produits assimilés sur opérations avec les établissements de crédit</t>
  </si>
  <si>
    <t>495 955</t>
  </si>
  <si>
    <t>540 091</t>
  </si>
  <si>
    <t>Intérêts, rémunérations et produits assimilés sur opérations avec la clientèle</t>
  </si>
  <si>
    <t>1 335 344</t>
  </si>
  <si>
    <t>1 302 731</t>
  </si>
  <si>
    <t>Intérêts et produits assimilés sur titres de créance</t>
  </si>
  <si>
    <t>354 326</t>
  </si>
  <si>
    <t>343 673</t>
  </si>
  <si>
    <t>Produits sur titres de propriété et certificats de Sukuks</t>
  </si>
  <si>
    <t>107 394</t>
  </si>
  <si>
    <t>145 076</t>
  </si>
  <si>
    <t>Produits sur titres de Moudaraba et Moucharaka</t>
  </si>
  <si>
    <t>Produits sur immobilisations en crédit-bail et en location</t>
  </si>
  <si>
    <t>Produits sur immobilisations données en Ijara</t>
  </si>
  <si>
    <t>Commissions sur prestations de service</t>
  </si>
  <si>
    <t>165 999</t>
  </si>
  <si>
    <t>197 347</t>
  </si>
  <si>
    <t>Autres produits bancaires</t>
  </si>
  <si>
    <t>2 419 011</t>
  </si>
  <si>
    <t>1 262 325</t>
  </si>
  <si>
    <t>Transfert de charges sur dépôts d'investissement reçus</t>
  </si>
  <si>
    <t>CHARGES D'EXPLOITATION BANCAIRE</t>
  </si>
  <si>
    <t>1 929 413</t>
  </si>
  <si>
    <t>1 600 196</t>
  </si>
  <si>
    <t>Intérêts et charges sur opérations avec les établissements de crédit et assimilés</t>
  </si>
  <si>
    <t>1 134 788</t>
  </si>
  <si>
    <t>1 118 526</t>
  </si>
  <si>
    <t>Intérêts et charges sur opérations avec la clientèle</t>
  </si>
  <si>
    <t>217 527</t>
  </si>
  <si>
    <t>215 701</t>
  </si>
  <si>
    <t>Intérêts et charges assimilées sur titres de créance émis</t>
  </si>
  <si>
    <t>Charges sur titres de Moudaraba et Moucharaka</t>
  </si>
  <si>
    <t>Charges sur immobilisations en crédit-bail et en location</t>
  </si>
  <si>
    <t>Charges sur immobilisations données en Ijara</t>
  </si>
  <si>
    <t>Autres charges bancaires</t>
  </si>
  <si>
    <t>577 047</t>
  </si>
  <si>
    <t>265 918</t>
  </si>
  <si>
    <t>Transfert de produits sur dépôts d'investissement reçus</t>
  </si>
  <si>
    <t>2 948 659</t>
  </si>
  <si>
    <t>2 191 095</t>
  </si>
  <si>
    <t>Produits d'exploitation non bancaire</t>
  </si>
  <si>
    <t>376 911</t>
  </si>
  <si>
    <t>369 449</t>
  </si>
  <si>
    <t>Charges d'exploitation non bancaire</t>
  </si>
  <si>
    <t>82 194</t>
  </si>
  <si>
    <t>8 661</t>
  </si>
  <si>
    <t>CHARGES GENERALES D'EXPLOITATION</t>
  </si>
  <si>
    <t>800 698</t>
  </si>
  <si>
    <t>789 112</t>
  </si>
  <si>
    <t>Charges de personnel</t>
  </si>
  <si>
    <t>299 702</t>
  </si>
  <si>
    <t>297 146</t>
  </si>
  <si>
    <t>Impôts et taxes</t>
  </si>
  <si>
    <t>14 555</t>
  </si>
  <si>
    <t>16 460</t>
  </si>
  <si>
    <t>Charges externes</t>
  </si>
  <si>
    <t>409 247</t>
  </si>
  <si>
    <t>379 330</t>
  </si>
  <si>
    <t>Autres charges générales d'exploitation</t>
  </si>
  <si>
    <t>21 527</t>
  </si>
  <si>
    <t>38 315</t>
  </si>
  <si>
    <t>Dotations aux amortissements et aux provisions des immobilisations incorporelles et corporelles</t>
  </si>
  <si>
    <t>55 667</t>
  </si>
  <si>
    <t>57 861</t>
  </si>
  <si>
    <t>DOTATIONS AUX PROVISIONS ET PERTES SUR CREANCES IRRECOUVRABLES</t>
  </si>
  <si>
    <t>947 018</t>
  </si>
  <si>
    <t>960 387</t>
  </si>
  <si>
    <t>Dotations aux provisions pour créances et engagements par signature en souffrance</t>
  </si>
  <si>
    <t>260 236</t>
  </si>
  <si>
    <t>535 291</t>
  </si>
  <si>
    <t>Pertes sur créances irrécouvrables</t>
  </si>
  <si>
    <t>170 834</t>
  </si>
  <si>
    <t>274 813</t>
  </si>
  <si>
    <t>Autres dotations aux provisions</t>
  </si>
  <si>
    <t>515 948</t>
  </si>
  <si>
    <t>150 283</t>
  </si>
  <si>
    <t>REPRISES DE PROVISIONS ET RECUPERATIONS SUR CREANCES AMORTIES</t>
  </si>
  <si>
    <t>413 101</t>
  </si>
  <si>
    <t>632 061</t>
  </si>
  <si>
    <t>Reprises de provisions pour créances et engagements par signature en souffrance</t>
  </si>
  <si>
    <t>329 155</t>
  </si>
  <si>
    <t>580 795</t>
  </si>
  <si>
    <t>Récupérations sur créances amorties</t>
  </si>
  <si>
    <t>21 795</t>
  </si>
  <si>
    <t>13 920</t>
  </si>
  <si>
    <t>Autres reprises de provisions</t>
  </si>
  <si>
    <t>62 151</t>
  </si>
  <si>
    <t>37 346</t>
  </si>
  <si>
    <t>RESULTAT COURANT</t>
  </si>
  <si>
    <t>1 908 761</t>
  </si>
  <si>
    <t>1 434 445</t>
  </si>
  <si>
    <t>Produits non courants</t>
  </si>
  <si>
    <t>7 359</t>
  </si>
  <si>
    <t>12 213</t>
  </si>
  <si>
    <t>Charges non courantes</t>
  </si>
  <si>
    <t>67 200</t>
  </si>
  <si>
    <t>35 308</t>
  </si>
  <si>
    <t>RESULTAT AVANT IMPOTS</t>
  </si>
  <si>
    <t>1 848 920</t>
  </si>
  <si>
    <t>1 411 350</t>
  </si>
  <si>
    <t>Impôts sur les résultats</t>
  </si>
  <si>
    <t>850 600</t>
  </si>
  <si>
    <t>535 973</t>
  </si>
  <si>
    <t>RESULTAT NET DE L'EXERCICE</t>
  </si>
  <si>
    <t>875 377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</si>
</sst>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1"/>
  <sheetViews>
    <sheetView topLeftCell="A60" workbookViewId="0">
      <selection activeCell="C77" sqref="C77"/>
    </sheetView>
  </sheetViews>
  <sheetFormatPr defaultRowHeight="14.4" x14ac:dyDescent="0.3"/>
  <cols>
    <col min="1" max="1" width="57.109375" bestFit="1" customWidth="1"/>
  </cols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5876C-B841-43F3-8D31-8C76A92A1D1E}">
  <dimension ref="A1:A80"/>
  <sheetViews>
    <sheetView workbookViewId="0">
      <selection activeCell="C69" sqref="C69"/>
    </sheetView>
  </sheetViews>
  <sheetFormatPr defaultRowHeight="14.4" x14ac:dyDescent="0.3"/>
  <cols>
    <col min="1" max="1" width="54.6640625" bestFit="1" customWidth="1"/>
  </cols>
  <sheetData>
    <row r="1" spans="1:1" x14ac:dyDescent="0.3">
      <c r="A1" t="s">
        <v>71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72</v>
      </c>
    </row>
    <row r="5" spans="1:1" x14ac:dyDescent="0.3">
      <c r="A5" t="s">
        <v>73</v>
      </c>
    </row>
    <row r="6" spans="1:1" x14ac:dyDescent="0.3">
      <c r="A6" t="s">
        <v>74</v>
      </c>
    </row>
    <row r="7" spans="1:1" x14ac:dyDescent="0.3">
      <c r="A7" t="s">
        <v>75</v>
      </c>
    </row>
    <row r="8" spans="1:1" x14ac:dyDescent="0.3">
      <c r="A8" t="s">
        <v>76</v>
      </c>
    </row>
    <row r="9" spans="1:1" x14ac:dyDescent="0.3">
      <c r="A9" t="s">
        <v>77</v>
      </c>
    </row>
    <row r="10" spans="1:1" x14ac:dyDescent="0.3">
      <c r="A10" t="s">
        <v>15</v>
      </c>
    </row>
    <row r="11" spans="1:1" x14ac:dyDescent="0.3">
      <c r="A11" t="s">
        <v>78</v>
      </c>
    </row>
    <row r="12" spans="1:1" x14ac:dyDescent="0.3">
      <c r="A12" t="s">
        <v>79</v>
      </c>
    </row>
    <row r="13" spans="1:1" x14ac:dyDescent="0.3">
      <c r="A13" t="s">
        <v>80</v>
      </c>
    </row>
    <row r="14" spans="1:1" x14ac:dyDescent="0.3">
      <c r="A14" t="s">
        <v>81</v>
      </c>
    </row>
    <row r="15" spans="1:1" x14ac:dyDescent="0.3">
      <c r="A15" t="s">
        <v>82</v>
      </c>
    </row>
    <row r="16" spans="1:1" x14ac:dyDescent="0.3">
      <c r="A16" t="s">
        <v>83</v>
      </c>
    </row>
    <row r="17" spans="1:1" x14ac:dyDescent="0.3">
      <c r="A17" t="s">
        <v>84</v>
      </c>
    </row>
    <row r="18" spans="1:1" x14ac:dyDescent="0.3">
      <c r="A18" t="s">
        <v>85</v>
      </c>
    </row>
    <row r="19" spans="1:1" x14ac:dyDescent="0.3">
      <c r="A19" t="s">
        <v>86</v>
      </c>
    </row>
    <row r="20" spans="1:1" x14ac:dyDescent="0.3">
      <c r="A20" t="s">
        <v>87</v>
      </c>
    </row>
    <row r="21" spans="1:1" x14ac:dyDescent="0.3">
      <c r="A21" t="s">
        <v>88</v>
      </c>
    </row>
    <row r="22" spans="1:1" x14ac:dyDescent="0.3">
      <c r="A22" t="s">
        <v>89</v>
      </c>
    </row>
    <row r="23" spans="1:1" x14ac:dyDescent="0.3">
      <c r="A23" t="s">
        <v>90</v>
      </c>
    </row>
    <row r="24" spans="1:1" x14ac:dyDescent="0.3">
      <c r="A24" t="s">
        <v>91</v>
      </c>
    </row>
    <row r="25" spans="1:1" x14ac:dyDescent="0.3">
      <c r="A25" t="s">
        <v>92</v>
      </c>
    </row>
    <row r="26" spans="1:1" x14ac:dyDescent="0.3">
      <c r="A26" t="s">
        <v>93</v>
      </c>
    </row>
    <row r="27" spans="1:1" x14ac:dyDescent="0.3">
      <c r="A27" t="s">
        <v>94</v>
      </c>
    </row>
    <row r="28" spans="1:1" x14ac:dyDescent="0.3">
      <c r="A28" t="s">
        <v>95</v>
      </c>
    </row>
    <row r="29" spans="1:1" x14ac:dyDescent="0.3">
      <c r="A29" t="s">
        <v>96</v>
      </c>
    </row>
    <row r="30" spans="1:1" x14ac:dyDescent="0.3">
      <c r="A30" t="s">
        <v>97</v>
      </c>
    </row>
    <row r="31" spans="1:1" x14ac:dyDescent="0.3">
      <c r="A31" t="s">
        <v>98</v>
      </c>
    </row>
    <row r="32" spans="1:1" x14ac:dyDescent="0.3">
      <c r="A32" t="s">
        <v>99</v>
      </c>
    </row>
    <row r="33" spans="1:1" x14ac:dyDescent="0.3">
      <c r="A33" t="s">
        <v>100</v>
      </c>
    </row>
    <row r="34" spans="1:1" x14ac:dyDescent="0.3">
      <c r="A34" t="s">
        <v>101</v>
      </c>
    </row>
    <row r="35" spans="1:1" x14ac:dyDescent="0.3">
      <c r="A35" t="s">
        <v>102</v>
      </c>
    </row>
    <row r="36" spans="1:1" x14ac:dyDescent="0.3">
      <c r="A36" t="s">
        <v>103</v>
      </c>
    </row>
    <row r="37" spans="1:1" x14ac:dyDescent="0.3">
      <c r="A37" t="s">
        <v>104</v>
      </c>
    </row>
    <row r="38" spans="1:1" x14ac:dyDescent="0.3">
      <c r="A38" t="s">
        <v>105</v>
      </c>
    </row>
    <row r="39" spans="1:1" x14ac:dyDescent="0.3">
      <c r="A39" t="s">
        <v>106</v>
      </c>
    </row>
    <row r="40" spans="1:1" x14ac:dyDescent="0.3">
      <c r="A40" t="s">
        <v>107</v>
      </c>
    </row>
    <row r="41" spans="1:1" x14ac:dyDescent="0.3">
      <c r="A41" t="s">
        <v>108</v>
      </c>
    </row>
    <row r="42" spans="1:1" x14ac:dyDescent="0.3">
      <c r="A42" t="s">
        <v>109</v>
      </c>
    </row>
    <row r="43" spans="1:1" x14ac:dyDescent="0.3">
      <c r="A43" t="s">
        <v>110</v>
      </c>
    </row>
    <row r="44" spans="1:1" x14ac:dyDescent="0.3">
      <c r="A44" t="s">
        <v>111</v>
      </c>
    </row>
    <row r="45" spans="1:1" x14ac:dyDescent="0.3">
      <c r="A45" t="s">
        <v>112</v>
      </c>
    </row>
    <row r="46" spans="1:1" x14ac:dyDescent="0.3">
      <c r="A46" t="s">
        <v>113</v>
      </c>
    </row>
    <row r="47" spans="1:1" x14ac:dyDescent="0.3">
      <c r="A47" t="s">
        <v>114</v>
      </c>
    </row>
    <row r="48" spans="1:1" x14ac:dyDescent="0.3">
      <c r="A48" t="s">
        <v>115</v>
      </c>
    </row>
    <row r="49" spans="1:1" x14ac:dyDescent="0.3">
      <c r="A49" t="s">
        <v>116</v>
      </c>
    </row>
    <row r="50" spans="1:1" x14ac:dyDescent="0.3">
      <c r="A50" t="s">
        <v>117</v>
      </c>
    </row>
    <row r="51" spans="1:1" x14ac:dyDescent="0.3">
      <c r="A51" t="s">
        <v>118</v>
      </c>
    </row>
    <row r="52" spans="1:1" x14ac:dyDescent="0.3">
      <c r="A52" t="s">
        <v>119</v>
      </c>
    </row>
    <row r="53" spans="1:1" x14ac:dyDescent="0.3">
      <c r="A53" t="s">
        <v>120</v>
      </c>
    </row>
    <row r="54" spans="1:1" x14ac:dyDescent="0.3">
      <c r="A54" t="e" cm="1">
        <f t="array" ref="A54">- Part du groupe</f>
        <v>#NAME?</v>
      </c>
    </row>
    <row r="55" spans="1:1" x14ac:dyDescent="0.3">
      <c r="A55" t="s">
        <v>121</v>
      </c>
    </row>
    <row r="56" spans="1:1" x14ac:dyDescent="0.3">
      <c r="A56" t="s">
        <v>122</v>
      </c>
    </row>
    <row r="57" spans="1:1" x14ac:dyDescent="0.3">
      <c r="A57" t="e" cm="1">
        <f t="array" ref="A57">- Part des minoritaires</f>
        <v>#NAME?</v>
      </c>
    </row>
    <row r="58" spans="1:1" x14ac:dyDescent="0.3">
      <c r="A58" t="s">
        <v>123</v>
      </c>
    </row>
    <row r="59" spans="1:1" x14ac:dyDescent="0.3">
      <c r="A59" t="s">
        <v>124</v>
      </c>
    </row>
    <row r="60" spans="1:1" x14ac:dyDescent="0.3">
      <c r="A60" t="s">
        <v>125</v>
      </c>
    </row>
    <row r="61" spans="1:1" x14ac:dyDescent="0.3">
      <c r="A61" t="s">
        <v>126</v>
      </c>
    </row>
    <row r="62" spans="1:1" x14ac:dyDescent="0.3">
      <c r="A62" t="s">
        <v>127</v>
      </c>
    </row>
    <row r="63" spans="1:1" x14ac:dyDescent="0.3">
      <c r="A63" t="e" cm="1">
        <f t="array" ref="A63">- Part du groupe</f>
        <v>#NAME?</v>
      </c>
    </row>
    <row r="64" spans="1:1" x14ac:dyDescent="0.3">
      <c r="A64" t="s">
        <v>128</v>
      </c>
    </row>
    <row r="65" spans="1:1" x14ac:dyDescent="0.3">
      <c r="A65" t="s">
        <v>129</v>
      </c>
    </row>
    <row r="66" spans="1:1" x14ac:dyDescent="0.3">
      <c r="A66" t="e" cm="1">
        <f t="array" ref="A66">- Part des minoritaires</f>
        <v>#NAME?</v>
      </c>
    </row>
    <row r="67" spans="1:1" x14ac:dyDescent="0.3">
      <c r="A67" t="s">
        <v>130</v>
      </c>
    </row>
    <row r="68" spans="1:1" x14ac:dyDescent="0.3">
      <c r="A68" t="s">
        <v>131</v>
      </c>
    </row>
    <row r="69" spans="1:1" x14ac:dyDescent="0.3">
      <c r="A69" t="s">
        <v>132</v>
      </c>
    </row>
    <row r="70" spans="1:1" x14ac:dyDescent="0.3">
      <c r="A70" t="s">
        <v>133</v>
      </c>
    </row>
    <row r="71" spans="1:1" x14ac:dyDescent="0.3">
      <c r="A71" t="s">
        <v>134</v>
      </c>
    </row>
    <row r="72" spans="1:1" x14ac:dyDescent="0.3">
      <c r="A72" t="e" cm="1">
        <f t="array" ref="A72">- Part du groupe</f>
        <v>#NAME?</v>
      </c>
    </row>
    <row r="73" spans="1:1" x14ac:dyDescent="0.3">
      <c r="A73" t="s">
        <v>135</v>
      </c>
    </row>
    <row r="74" spans="1:1" x14ac:dyDescent="0.3">
      <c r="A74" t="s">
        <v>136</v>
      </c>
    </row>
    <row r="75" spans="1:1" x14ac:dyDescent="0.3">
      <c r="A75" t="e" cm="1">
        <f t="array" ref="A75">- Part des minoritaires</f>
        <v>#NAME?</v>
      </c>
    </row>
    <row r="76" spans="1:1" x14ac:dyDescent="0.3">
      <c r="A76" t="s">
        <v>137</v>
      </c>
    </row>
    <row r="77" spans="1:1" x14ac:dyDescent="0.3">
      <c r="A77" t="s">
        <v>138</v>
      </c>
    </row>
    <row r="78" spans="1:1" x14ac:dyDescent="0.3">
      <c r="A78" t="s">
        <v>139</v>
      </c>
    </row>
    <row r="79" spans="1:1" x14ac:dyDescent="0.3">
      <c r="A79" t="s">
        <v>140</v>
      </c>
    </row>
    <row r="80" spans="1:1" x14ac:dyDescent="0.3">
      <c r="A80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9B06C-D5A2-4898-9A8B-BB70867772D4}">
  <dimension ref="A1:A101"/>
  <sheetViews>
    <sheetView topLeftCell="A84" workbookViewId="0">
      <selection activeCell="A104" sqref="A104"/>
    </sheetView>
  </sheetViews>
  <sheetFormatPr defaultRowHeight="14.4" x14ac:dyDescent="0.3"/>
  <cols>
    <col min="1" max="1" width="128.33203125" bestFit="1" customWidth="1"/>
  </cols>
  <sheetData>
    <row r="1" spans="1:1" x14ac:dyDescent="0.3">
      <c r="A1" t="s">
        <v>141</v>
      </c>
    </row>
    <row r="2" spans="1:1" x14ac:dyDescent="0.3">
      <c r="A2" t="s">
        <v>1</v>
      </c>
    </row>
    <row r="3" spans="1:1" x14ac:dyDescent="0.3">
      <c r="A3" t="s">
        <v>142</v>
      </c>
    </row>
    <row r="4" spans="1:1" x14ac:dyDescent="0.3">
      <c r="A4" t="s">
        <v>143</v>
      </c>
    </row>
    <row r="5" spans="1:1" x14ac:dyDescent="0.3">
      <c r="A5" t="s">
        <v>144</v>
      </c>
    </row>
    <row r="6" spans="1:1" x14ac:dyDescent="0.3">
      <c r="A6" t="s">
        <v>145</v>
      </c>
    </row>
    <row r="7" spans="1:1" x14ac:dyDescent="0.3">
      <c r="A7" t="s">
        <v>146</v>
      </c>
    </row>
    <row r="8" spans="1:1" x14ac:dyDescent="0.3">
      <c r="A8" t="s">
        <v>147</v>
      </c>
    </row>
    <row r="9" spans="1:1" x14ac:dyDescent="0.3">
      <c r="A9" t="s">
        <v>148</v>
      </c>
    </row>
    <row r="10" spans="1:1" x14ac:dyDescent="0.3">
      <c r="A10" t="s">
        <v>149</v>
      </c>
    </row>
    <row r="11" spans="1:1" x14ac:dyDescent="0.3">
      <c r="A11" t="s">
        <v>150</v>
      </c>
    </row>
    <row r="12" spans="1:1" x14ac:dyDescent="0.3">
      <c r="A12" t="s">
        <v>151</v>
      </c>
    </row>
    <row r="13" spans="1:1" x14ac:dyDescent="0.3">
      <c r="A13" t="s">
        <v>152</v>
      </c>
    </row>
    <row r="14" spans="1:1" x14ac:dyDescent="0.3">
      <c r="A14" t="s">
        <v>153</v>
      </c>
    </row>
    <row r="15" spans="1:1" x14ac:dyDescent="0.3">
      <c r="A15" t="s">
        <v>154</v>
      </c>
    </row>
    <row r="16" spans="1:1" x14ac:dyDescent="0.3">
      <c r="A16" t="s">
        <v>155</v>
      </c>
    </row>
    <row r="17" spans="1:1" x14ac:dyDescent="0.3">
      <c r="A17" t="s">
        <v>156</v>
      </c>
    </row>
    <row r="18" spans="1:1" x14ac:dyDescent="0.3">
      <c r="A18" t="s">
        <v>157</v>
      </c>
    </row>
    <row r="19" spans="1:1" x14ac:dyDescent="0.3">
      <c r="A19" t="s">
        <v>158</v>
      </c>
    </row>
    <row r="20" spans="1:1" x14ac:dyDescent="0.3">
      <c r="A20" t="s">
        <v>159</v>
      </c>
    </row>
    <row r="21" spans="1:1" x14ac:dyDescent="0.3">
      <c r="A21" t="s">
        <v>160</v>
      </c>
    </row>
    <row r="22" spans="1:1" x14ac:dyDescent="0.3">
      <c r="A22" t="s">
        <v>161</v>
      </c>
    </row>
    <row r="23" spans="1:1" x14ac:dyDescent="0.3">
      <c r="A23" t="s">
        <v>162</v>
      </c>
    </row>
    <row r="24" spans="1:1" x14ac:dyDescent="0.3">
      <c r="A24" t="s">
        <v>163</v>
      </c>
    </row>
    <row r="25" spans="1:1" x14ac:dyDescent="0.3">
      <c r="A25" t="s">
        <v>164</v>
      </c>
    </row>
    <row r="26" spans="1:1" x14ac:dyDescent="0.3">
      <c r="A26" t="s">
        <v>165</v>
      </c>
    </row>
    <row r="27" spans="1:1" x14ac:dyDescent="0.3">
      <c r="A27" t="s">
        <v>166</v>
      </c>
    </row>
    <row r="28" spans="1:1" x14ac:dyDescent="0.3">
      <c r="A28" t="s">
        <v>167</v>
      </c>
    </row>
    <row r="29" spans="1:1" x14ac:dyDescent="0.3">
      <c r="A29" t="s">
        <v>168</v>
      </c>
    </row>
    <row r="30" spans="1:1" x14ac:dyDescent="0.3">
      <c r="A30" t="s">
        <v>169</v>
      </c>
    </row>
    <row r="31" spans="1:1" x14ac:dyDescent="0.3">
      <c r="A31" t="s">
        <v>170</v>
      </c>
    </row>
    <row r="32" spans="1:1" x14ac:dyDescent="0.3">
      <c r="A32" t="s">
        <v>171</v>
      </c>
    </row>
    <row r="33" spans="1:1" x14ac:dyDescent="0.3">
      <c r="A33" t="s">
        <v>172</v>
      </c>
    </row>
    <row r="34" spans="1:1" x14ac:dyDescent="0.3">
      <c r="A34" t="s">
        <v>173</v>
      </c>
    </row>
    <row r="35" spans="1:1" x14ac:dyDescent="0.3">
      <c r="A35" t="s">
        <v>174</v>
      </c>
    </row>
    <row r="36" spans="1:1" x14ac:dyDescent="0.3">
      <c r="A36" t="s">
        <v>175</v>
      </c>
    </row>
    <row r="37" spans="1:1" x14ac:dyDescent="0.3">
      <c r="A37">
        <v>21</v>
      </c>
    </row>
    <row r="38" spans="1:1" x14ac:dyDescent="0.3">
      <c r="A38" t="s">
        <v>176</v>
      </c>
    </row>
    <row r="39" spans="1:1" x14ac:dyDescent="0.3">
      <c r="A39" t="s">
        <v>177</v>
      </c>
    </row>
    <row r="40" spans="1:1" x14ac:dyDescent="0.3">
      <c r="A40" t="s">
        <v>178</v>
      </c>
    </row>
    <row r="41" spans="1:1" x14ac:dyDescent="0.3">
      <c r="A41" t="s">
        <v>179</v>
      </c>
    </row>
    <row r="42" spans="1:1" x14ac:dyDescent="0.3">
      <c r="A42" t="s">
        <v>180</v>
      </c>
    </row>
    <row r="43" spans="1:1" x14ac:dyDescent="0.3">
      <c r="A43" t="s">
        <v>181</v>
      </c>
    </row>
    <row r="44" spans="1:1" x14ac:dyDescent="0.3">
      <c r="A44" t="s">
        <v>182</v>
      </c>
    </row>
    <row r="45" spans="1:1" x14ac:dyDescent="0.3">
      <c r="A45" t="s">
        <v>183</v>
      </c>
    </row>
    <row r="46" spans="1:1" x14ac:dyDescent="0.3">
      <c r="A46" t="s">
        <v>184</v>
      </c>
    </row>
    <row r="47" spans="1:1" x14ac:dyDescent="0.3">
      <c r="A47" t="s">
        <v>185</v>
      </c>
    </row>
    <row r="48" spans="1:1" x14ac:dyDescent="0.3">
      <c r="A48" t="s">
        <v>186</v>
      </c>
    </row>
    <row r="49" spans="1:1" x14ac:dyDescent="0.3">
      <c r="A49" t="s">
        <v>187</v>
      </c>
    </row>
    <row r="50" spans="1:1" x14ac:dyDescent="0.3">
      <c r="A50" t="s">
        <v>188</v>
      </c>
    </row>
    <row r="51" spans="1:1" x14ac:dyDescent="0.3">
      <c r="A51" t="s">
        <v>189</v>
      </c>
    </row>
    <row r="52" spans="1:1" x14ac:dyDescent="0.3">
      <c r="A52" t="s">
        <v>190</v>
      </c>
    </row>
    <row r="53" spans="1:1" x14ac:dyDescent="0.3">
      <c r="A53" t="s">
        <v>191</v>
      </c>
    </row>
    <row r="54" spans="1:1" x14ac:dyDescent="0.3">
      <c r="A54" t="s">
        <v>192</v>
      </c>
    </row>
    <row r="55" spans="1:1" x14ac:dyDescent="0.3">
      <c r="A55" t="s">
        <v>193</v>
      </c>
    </row>
    <row r="56" spans="1:1" x14ac:dyDescent="0.3">
      <c r="A56" t="s">
        <v>194</v>
      </c>
    </row>
    <row r="57" spans="1:1" x14ac:dyDescent="0.3">
      <c r="A57" t="s">
        <v>195</v>
      </c>
    </row>
    <row r="58" spans="1:1" x14ac:dyDescent="0.3">
      <c r="A58" t="s">
        <v>196</v>
      </c>
    </row>
    <row r="59" spans="1:1" x14ac:dyDescent="0.3">
      <c r="A59" t="s">
        <v>197</v>
      </c>
    </row>
    <row r="60" spans="1:1" x14ac:dyDescent="0.3">
      <c r="A60" t="s">
        <v>198</v>
      </c>
    </row>
    <row r="61" spans="1:1" x14ac:dyDescent="0.3">
      <c r="A61" t="s">
        <v>199</v>
      </c>
    </row>
    <row r="62" spans="1:1" x14ac:dyDescent="0.3">
      <c r="A62" t="s">
        <v>200</v>
      </c>
    </row>
    <row r="63" spans="1:1" x14ac:dyDescent="0.3">
      <c r="A63" t="s">
        <v>201</v>
      </c>
    </row>
    <row r="64" spans="1:1" x14ac:dyDescent="0.3">
      <c r="A64" t="s">
        <v>202</v>
      </c>
    </row>
    <row r="65" spans="1:1" x14ac:dyDescent="0.3">
      <c r="A65" t="s">
        <v>203</v>
      </c>
    </row>
    <row r="66" spans="1:1" x14ac:dyDescent="0.3">
      <c r="A66" t="s">
        <v>204</v>
      </c>
    </row>
    <row r="67" spans="1:1" x14ac:dyDescent="0.3">
      <c r="A67" t="s">
        <v>205</v>
      </c>
    </row>
    <row r="68" spans="1:1" x14ac:dyDescent="0.3">
      <c r="A68" t="s">
        <v>206</v>
      </c>
    </row>
    <row r="69" spans="1:1" x14ac:dyDescent="0.3">
      <c r="A69" t="s">
        <v>207</v>
      </c>
    </row>
    <row r="70" spans="1:1" x14ac:dyDescent="0.3">
      <c r="A70" t="s">
        <v>208</v>
      </c>
    </row>
    <row r="71" spans="1:1" x14ac:dyDescent="0.3">
      <c r="A71" t="s">
        <v>209</v>
      </c>
    </row>
    <row r="72" spans="1:1" x14ac:dyDescent="0.3">
      <c r="A72" t="s">
        <v>210</v>
      </c>
    </row>
    <row r="73" spans="1:1" x14ac:dyDescent="0.3">
      <c r="A73" t="s">
        <v>211</v>
      </c>
    </row>
    <row r="74" spans="1:1" x14ac:dyDescent="0.3">
      <c r="A74" t="s">
        <v>212</v>
      </c>
    </row>
    <row r="75" spans="1:1" x14ac:dyDescent="0.3">
      <c r="A75" t="s">
        <v>213</v>
      </c>
    </row>
    <row r="76" spans="1:1" x14ac:dyDescent="0.3">
      <c r="A76" t="s">
        <v>214</v>
      </c>
    </row>
    <row r="77" spans="1:1" x14ac:dyDescent="0.3">
      <c r="A77" t="s">
        <v>215</v>
      </c>
    </row>
    <row r="78" spans="1:1" x14ac:dyDescent="0.3">
      <c r="A78" t="s">
        <v>216</v>
      </c>
    </row>
    <row r="79" spans="1:1" x14ac:dyDescent="0.3">
      <c r="A79" t="s">
        <v>217</v>
      </c>
    </row>
    <row r="80" spans="1:1" x14ac:dyDescent="0.3">
      <c r="A80" t="s">
        <v>218</v>
      </c>
    </row>
    <row r="81" spans="1:1" x14ac:dyDescent="0.3">
      <c r="A81" t="s">
        <v>219</v>
      </c>
    </row>
    <row r="82" spans="1:1" x14ac:dyDescent="0.3">
      <c r="A82" t="s">
        <v>220</v>
      </c>
    </row>
    <row r="83" spans="1:1" x14ac:dyDescent="0.3">
      <c r="A83" t="s">
        <v>221</v>
      </c>
    </row>
    <row r="84" spans="1:1" x14ac:dyDescent="0.3">
      <c r="A84" t="s">
        <v>222</v>
      </c>
    </row>
    <row r="85" spans="1:1" x14ac:dyDescent="0.3">
      <c r="A85" t="s">
        <v>223</v>
      </c>
    </row>
    <row r="86" spans="1:1" x14ac:dyDescent="0.3">
      <c r="A86" t="s">
        <v>224</v>
      </c>
    </row>
    <row r="87" spans="1:1" x14ac:dyDescent="0.3">
      <c r="A87" t="s">
        <v>225</v>
      </c>
    </row>
    <row r="88" spans="1:1" x14ac:dyDescent="0.3">
      <c r="A88" t="s">
        <v>133</v>
      </c>
    </row>
    <row r="89" spans="1:1" x14ac:dyDescent="0.3">
      <c r="A89" t="s">
        <v>226</v>
      </c>
    </row>
    <row r="90" spans="1:1" x14ac:dyDescent="0.3">
      <c r="A90" t="s">
        <v>227</v>
      </c>
    </row>
    <row r="91" spans="1:1" x14ac:dyDescent="0.3">
      <c r="A91" t="s">
        <v>137</v>
      </c>
    </row>
    <row r="92" spans="1:1" x14ac:dyDescent="0.3">
      <c r="A92" t="s">
        <v>228</v>
      </c>
    </row>
    <row r="93" spans="1:1" x14ac:dyDescent="0.3">
      <c r="A93" t="s">
        <v>229</v>
      </c>
    </row>
    <row r="94" spans="1:1" x14ac:dyDescent="0.3">
      <c r="A94" t="s">
        <v>135</v>
      </c>
    </row>
    <row r="95" spans="1:1" x14ac:dyDescent="0.3">
      <c r="A95" t="s">
        <v>230</v>
      </c>
    </row>
    <row r="96" spans="1:1" x14ac:dyDescent="0.3">
      <c r="A96" t="s">
        <v>231</v>
      </c>
    </row>
    <row r="97" spans="1:1" x14ac:dyDescent="0.3">
      <c r="A97" t="s">
        <v>232</v>
      </c>
    </row>
    <row r="98" spans="1:1" x14ac:dyDescent="0.3">
      <c r="A98" t="s">
        <v>233</v>
      </c>
    </row>
    <row r="99" spans="1:1" x14ac:dyDescent="0.3">
      <c r="A99" t="s">
        <v>234</v>
      </c>
    </row>
    <row r="100" spans="1:1" x14ac:dyDescent="0.3">
      <c r="A100" t="s">
        <v>232</v>
      </c>
    </row>
    <row r="101" spans="1:1" x14ac:dyDescent="0.3">
      <c r="A101" t="s">
        <v>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2DFDE-340E-47FA-84B1-E6CB37790069}">
  <dimension ref="A1:A96"/>
  <sheetViews>
    <sheetView topLeftCell="A82" workbookViewId="0">
      <selection sqref="A1:A96"/>
    </sheetView>
  </sheetViews>
  <sheetFormatPr defaultRowHeight="14.4" x14ac:dyDescent="0.3"/>
  <cols>
    <col min="1" max="1" width="67.21875" bestFit="1" customWidth="1"/>
  </cols>
  <sheetData>
    <row r="1" spans="1:1" x14ac:dyDescent="0.3">
      <c r="A1" t="s">
        <v>235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236</v>
      </c>
    </row>
    <row r="5" spans="1:1" x14ac:dyDescent="0.3">
      <c r="A5" t="s">
        <v>237</v>
      </c>
    </row>
    <row r="6" spans="1:1" x14ac:dyDescent="0.3">
      <c r="A6" t="s">
        <v>238</v>
      </c>
    </row>
    <row r="7" spans="1:1" x14ac:dyDescent="0.3">
      <c r="A7" t="s">
        <v>239</v>
      </c>
    </row>
    <row r="8" spans="1:1" x14ac:dyDescent="0.3">
      <c r="A8" t="s">
        <v>240</v>
      </c>
    </row>
    <row r="9" spans="1:1" x14ac:dyDescent="0.3">
      <c r="A9" t="s">
        <v>241</v>
      </c>
    </row>
    <row r="10" spans="1:1" x14ac:dyDescent="0.3">
      <c r="A10" t="s">
        <v>242</v>
      </c>
    </row>
    <row r="11" spans="1:1" x14ac:dyDescent="0.3">
      <c r="A11" t="s">
        <v>243</v>
      </c>
    </row>
    <row r="12" spans="1:1" x14ac:dyDescent="0.3">
      <c r="A12" t="s">
        <v>244</v>
      </c>
    </row>
    <row r="13" spans="1:1" x14ac:dyDescent="0.3">
      <c r="A13" t="s">
        <v>245</v>
      </c>
    </row>
    <row r="14" spans="1:1" x14ac:dyDescent="0.3">
      <c r="A14" t="s">
        <v>246</v>
      </c>
    </row>
    <row r="15" spans="1:1" x14ac:dyDescent="0.3">
      <c r="A15" t="s">
        <v>247</v>
      </c>
    </row>
    <row r="16" spans="1:1" x14ac:dyDescent="0.3">
      <c r="A16" t="s">
        <v>248</v>
      </c>
    </row>
    <row r="17" spans="1:1" x14ac:dyDescent="0.3">
      <c r="A17" t="s">
        <v>249</v>
      </c>
    </row>
    <row r="18" spans="1:1" x14ac:dyDescent="0.3">
      <c r="A18" t="s">
        <v>250</v>
      </c>
    </row>
    <row r="19" spans="1:1" x14ac:dyDescent="0.3">
      <c r="A19" t="s">
        <v>251</v>
      </c>
    </row>
    <row r="20" spans="1:1" x14ac:dyDescent="0.3">
      <c r="A20" t="s">
        <v>252</v>
      </c>
    </row>
    <row r="21" spans="1:1" x14ac:dyDescent="0.3">
      <c r="A21" t="s">
        <v>253</v>
      </c>
    </row>
    <row r="22" spans="1:1" x14ac:dyDescent="0.3">
      <c r="A22" t="s">
        <v>254</v>
      </c>
    </row>
    <row r="23" spans="1:1" x14ac:dyDescent="0.3">
      <c r="A23" t="s">
        <v>255</v>
      </c>
    </row>
    <row r="24" spans="1:1" x14ac:dyDescent="0.3">
      <c r="A24" t="s">
        <v>256</v>
      </c>
    </row>
    <row r="25" spans="1:1" x14ac:dyDescent="0.3">
      <c r="A25" t="s">
        <v>257</v>
      </c>
    </row>
    <row r="26" spans="1:1" x14ac:dyDescent="0.3">
      <c r="A26" t="s">
        <v>258</v>
      </c>
    </row>
    <row r="27" spans="1:1" x14ac:dyDescent="0.3">
      <c r="A27" t="s">
        <v>259</v>
      </c>
    </row>
    <row r="28" spans="1:1" x14ac:dyDescent="0.3">
      <c r="A28" t="s">
        <v>260</v>
      </c>
    </row>
    <row r="29" spans="1:1" x14ac:dyDescent="0.3">
      <c r="A29" t="s">
        <v>261</v>
      </c>
    </row>
    <row r="30" spans="1:1" x14ac:dyDescent="0.3">
      <c r="A30" t="s">
        <v>262</v>
      </c>
    </row>
    <row r="31" spans="1:1" x14ac:dyDescent="0.3">
      <c r="A31" t="s">
        <v>263</v>
      </c>
    </row>
    <row r="32" spans="1:1" x14ac:dyDescent="0.3">
      <c r="A32" t="s">
        <v>264</v>
      </c>
    </row>
    <row r="33" spans="1:1" x14ac:dyDescent="0.3">
      <c r="A33" t="s">
        <v>265</v>
      </c>
    </row>
    <row r="34" spans="1:1" x14ac:dyDescent="0.3">
      <c r="A34" t="s">
        <v>266</v>
      </c>
    </row>
    <row r="35" spans="1:1" x14ac:dyDescent="0.3">
      <c r="A35" t="s">
        <v>267</v>
      </c>
    </row>
    <row r="36" spans="1:1" x14ac:dyDescent="0.3">
      <c r="A36" t="s">
        <v>268</v>
      </c>
    </row>
    <row r="37" spans="1:1" x14ac:dyDescent="0.3">
      <c r="A37" t="s">
        <v>269</v>
      </c>
    </row>
    <row r="38" spans="1:1" x14ac:dyDescent="0.3">
      <c r="A38" t="s">
        <v>270</v>
      </c>
    </row>
    <row r="39" spans="1:1" x14ac:dyDescent="0.3">
      <c r="A39" t="s">
        <v>271</v>
      </c>
    </row>
    <row r="40" spans="1:1" x14ac:dyDescent="0.3">
      <c r="A40" t="s">
        <v>272</v>
      </c>
    </row>
    <row r="41" spans="1:1" x14ac:dyDescent="0.3">
      <c r="A41" t="s">
        <v>273</v>
      </c>
    </row>
    <row r="42" spans="1:1" x14ac:dyDescent="0.3">
      <c r="A42" t="s">
        <v>274</v>
      </c>
    </row>
    <row r="43" spans="1:1" x14ac:dyDescent="0.3">
      <c r="A43" t="s">
        <v>275</v>
      </c>
    </row>
    <row r="44" spans="1:1" x14ac:dyDescent="0.3">
      <c r="A44" t="s">
        <v>276</v>
      </c>
    </row>
    <row r="45" spans="1:1" x14ac:dyDescent="0.3">
      <c r="A45" t="s">
        <v>277</v>
      </c>
    </row>
    <row r="46" spans="1:1" x14ac:dyDescent="0.3">
      <c r="A46" t="s">
        <v>278</v>
      </c>
    </row>
    <row r="47" spans="1:1" x14ac:dyDescent="0.3">
      <c r="A47" t="s">
        <v>279</v>
      </c>
    </row>
    <row r="48" spans="1:1" x14ac:dyDescent="0.3">
      <c r="A48" t="s">
        <v>279</v>
      </c>
    </row>
    <row r="49" spans="1:1" x14ac:dyDescent="0.3">
      <c r="A49" t="s">
        <v>280</v>
      </c>
    </row>
    <row r="50" spans="1:1" x14ac:dyDescent="0.3">
      <c r="A50" t="s">
        <v>281</v>
      </c>
    </row>
    <row r="51" spans="1:1" x14ac:dyDescent="0.3">
      <c r="A51" t="s">
        <v>282</v>
      </c>
    </row>
    <row r="52" spans="1:1" x14ac:dyDescent="0.3">
      <c r="A52" t="s">
        <v>283</v>
      </c>
    </row>
    <row r="53" spans="1:1" x14ac:dyDescent="0.3">
      <c r="A53" t="s">
        <v>284</v>
      </c>
    </row>
    <row r="54" spans="1:1" x14ac:dyDescent="0.3">
      <c r="A54" t="s">
        <v>285</v>
      </c>
    </row>
    <row r="55" spans="1:1" x14ac:dyDescent="0.3">
      <c r="A55" t="s">
        <v>269</v>
      </c>
    </row>
    <row r="56" spans="1:1" x14ac:dyDescent="0.3">
      <c r="A56" t="s">
        <v>286</v>
      </c>
    </row>
    <row r="57" spans="1:1" x14ac:dyDescent="0.3">
      <c r="A57" t="s">
        <v>287</v>
      </c>
    </row>
    <row r="58" spans="1:1" x14ac:dyDescent="0.3">
      <c r="A58" t="s">
        <v>272</v>
      </c>
    </row>
    <row r="59" spans="1:1" x14ac:dyDescent="0.3">
      <c r="A59" t="s">
        <v>288</v>
      </c>
    </row>
    <row r="60" spans="1:1" x14ac:dyDescent="0.3">
      <c r="A60" t="s">
        <v>289</v>
      </c>
    </row>
    <row r="61" spans="1:1" x14ac:dyDescent="0.3">
      <c r="A61" t="s">
        <v>278</v>
      </c>
    </row>
    <row r="62" spans="1:1" x14ac:dyDescent="0.3">
      <c r="A62" t="s">
        <v>279</v>
      </c>
    </row>
    <row r="63" spans="1:1" x14ac:dyDescent="0.3">
      <c r="A63" t="s">
        <v>279</v>
      </c>
    </row>
    <row r="64" spans="1:1" x14ac:dyDescent="0.3">
      <c r="A64" t="s">
        <v>290</v>
      </c>
    </row>
    <row r="65" spans="1:1" x14ac:dyDescent="0.3">
      <c r="A65" t="s">
        <v>291</v>
      </c>
    </row>
    <row r="66" spans="1:1" x14ac:dyDescent="0.3">
      <c r="A66" t="s">
        <v>292</v>
      </c>
    </row>
    <row r="67" spans="1:1" x14ac:dyDescent="0.3">
      <c r="A67" t="s">
        <v>293</v>
      </c>
    </row>
    <row r="68" spans="1:1" x14ac:dyDescent="0.3">
      <c r="A68" t="s">
        <v>294</v>
      </c>
    </row>
    <row r="69" spans="1:1" x14ac:dyDescent="0.3">
      <c r="A69" t="s">
        <v>295</v>
      </c>
    </row>
    <row r="70" spans="1:1" x14ac:dyDescent="0.3">
      <c r="A70" t="s">
        <v>296</v>
      </c>
    </row>
    <row r="71" spans="1:1" x14ac:dyDescent="0.3">
      <c r="A71" t="s">
        <v>297</v>
      </c>
    </row>
    <row r="72" spans="1:1" x14ac:dyDescent="0.3">
      <c r="A72" t="s">
        <v>298</v>
      </c>
    </row>
    <row r="73" spans="1:1" x14ac:dyDescent="0.3">
      <c r="A73" t="s">
        <v>299</v>
      </c>
    </row>
    <row r="74" spans="1:1" x14ac:dyDescent="0.3">
      <c r="A74" t="s">
        <v>279</v>
      </c>
    </row>
    <row r="75" spans="1:1" x14ac:dyDescent="0.3">
      <c r="A75" t="s">
        <v>279</v>
      </c>
    </row>
    <row r="76" spans="1:1" x14ac:dyDescent="0.3">
      <c r="A76" t="s">
        <v>300</v>
      </c>
    </row>
    <row r="77" spans="1:1" x14ac:dyDescent="0.3">
      <c r="A77" t="s">
        <v>301</v>
      </c>
    </row>
    <row r="78" spans="1:1" x14ac:dyDescent="0.3">
      <c r="A78" t="s">
        <v>302</v>
      </c>
    </row>
    <row r="79" spans="1:1" x14ac:dyDescent="0.3">
      <c r="A79" t="s">
        <v>303</v>
      </c>
    </row>
    <row r="80" spans="1:1" x14ac:dyDescent="0.3">
      <c r="A80" t="s">
        <v>304</v>
      </c>
    </row>
    <row r="81" spans="1:1" x14ac:dyDescent="0.3">
      <c r="A81" t="s">
        <v>305</v>
      </c>
    </row>
    <row r="82" spans="1:1" x14ac:dyDescent="0.3">
      <c r="A82" t="s">
        <v>306</v>
      </c>
    </row>
    <row r="83" spans="1:1" x14ac:dyDescent="0.3">
      <c r="A83" t="s">
        <v>307</v>
      </c>
    </row>
    <row r="84" spans="1:1" x14ac:dyDescent="0.3">
      <c r="A84" t="s">
        <v>308</v>
      </c>
    </row>
    <row r="85" spans="1:1" x14ac:dyDescent="0.3">
      <c r="A85" t="s">
        <v>309</v>
      </c>
    </row>
    <row r="86" spans="1:1" x14ac:dyDescent="0.3">
      <c r="A86">
        <v>418</v>
      </c>
    </row>
    <row r="87" spans="1:1" x14ac:dyDescent="0.3">
      <c r="A87">
        <v>428</v>
      </c>
    </row>
    <row r="88" spans="1:1" x14ac:dyDescent="0.3">
      <c r="A88" t="s">
        <v>62</v>
      </c>
    </row>
    <row r="89" spans="1:1" x14ac:dyDescent="0.3">
      <c r="A89" t="s">
        <v>310</v>
      </c>
    </row>
    <row r="90" spans="1:1" x14ac:dyDescent="0.3">
      <c r="A90" t="s">
        <v>311</v>
      </c>
    </row>
    <row r="91" spans="1:1" x14ac:dyDescent="0.3">
      <c r="A91" t="s">
        <v>59</v>
      </c>
    </row>
    <row r="92" spans="1:1" x14ac:dyDescent="0.3">
      <c r="A92" t="s">
        <v>312</v>
      </c>
    </row>
    <row r="93" spans="1:1" x14ac:dyDescent="0.3">
      <c r="A93" t="s">
        <v>313</v>
      </c>
    </row>
    <row r="94" spans="1:1" x14ac:dyDescent="0.3">
      <c r="A94" t="s">
        <v>314</v>
      </c>
    </row>
    <row r="95" spans="1:1" x14ac:dyDescent="0.3">
      <c r="A95" t="s">
        <v>315</v>
      </c>
    </row>
    <row r="96" spans="1:1" x14ac:dyDescent="0.3">
      <c r="A96" t="s">
        <v>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34D1C-1271-4BB8-B845-A99E72929478}">
  <dimension ref="A1:A87"/>
  <sheetViews>
    <sheetView topLeftCell="A71" workbookViewId="0">
      <selection sqref="A1:A87"/>
    </sheetView>
  </sheetViews>
  <sheetFormatPr defaultRowHeight="14.4" x14ac:dyDescent="0.3"/>
  <cols>
    <col min="1" max="1" width="54.6640625" bestFit="1" customWidth="1"/>
  </cols>
  <sheetData>
    <row r="1" spans="1:1" x14ac:dyDescent="0.3">
      <c r="A1" t="s">
        <v>317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72</v>
      </c>
    </row>
    <row r="5" spans="1:1" x14ac:dyDescent="0.3">
      <c r="A5">
        <v>11</v>
      </c>
    </row>
    <row r="6" spans="1:1" x14ac:dyDescent="0.3">
      <c r="A6">
        <v>11</v>
      </c>
    </row>
    <row r="7" spans="1:1" x14ac:dyDescent="0.3">
      <c r="A7" t="s">
        <v>318</v>
      </c>
    </row>
    <row r="8" spans="1:1" x14ac:dyDescent="0.3">
      <c r="A8" t="s">
        <v>319</v>
      </c>
    </row>
    <row r="9" spans="1:1" x14ac:dyDescent="0.3">
      <c r="A9" t="s">
        <v>320</v>
      </c>
    </row>
    <row r="10" spans="1:1" x14ac:dyDescent="0.3">
      <c r="A10" t="s">
        <v>242</v>
      </c>
    </row>
    <row r="11" spans="1:1" x14ac:dyDescent="0.3">
      <c r="A11" t="s">
        <v>321</v>
      </c>
    </row>
    <row r="12" spans="1:1" x14ac:dyDescent="0.3">
      <c r="A12" t="s">
        <v>322</v>
      </c>
    </row>
    <row r="13" spans="1:1" x14ac:dyDescent="0.3">
      <c r="A13" t="s">
        <v>245</v>
      </c>
    </row>
    <row r="14" spans="1:1" x14ac:dyDescent="0.3">
      <c r="A14" t="s">
        <v>323</v>
      </c>
    </row>
    <row r="15" spans="1:1" x14ac:dyDescent="0.3">
      <c r="A15" t="s">
        <v>324</v>
      </c>
    </row>
    <row r="16" spans="1:1" x14ac:dyDescent="0.3">
      <c r="A16" t="s">
        <v>325</v>
      </c>
    </row>
    <row r="17" spans="1:1" x14ac:dyDescent="0.3">
      <c r="A17" t="s">
        <v>326</v>
      </c>
    </row>
    <row r="18" spans="1:1" x14ac:dyDescent="0.3">
      <c r="A18" t="s">
        <v>327</v>
      </c>
    </row>
    <row r="19" spans="1:1" x14ac:dyDescent="0.3">
      <c r="A19" t="s">
        <v>328</v>
      </c>
    </row>
    <row r="20" spans="1:1" x14ac:dyDescent="0.3">
      <c r="A20" t="s">
        <v>329</v>
      </c>
    </row>
    <row r="21" spans="1:1" x14ac:dyDescent="0.3">
      <c r="A21" t="s">
        <v>330</v>
      </c>
    </row>
    <row r="22" spans="1:1" x14ac:dyDescent="0.3">
      <c r="A22" t="s">
        <v>331</v>
      </c>
    </row>
    <row r="23" spans="1:1" x14ac:dyDescent="0.3">
      <c r="A23" t="s">
        <v>332</v>
      </c>
    </row>
    <row r="24" spans="1:1" x14ac:dyDescent="0.3">
      <c r="A24" t="s">
        <v>333</v>
      </c>
    </row>
    <row r="25" spans="1:1" x14ac:dyDescent="0.3">
      <c r="A25" t="s">
        <v>334</v>
      </c>
    </row>
    <row r="26" spans="1:1" x14ac:dyDescent="0.3">
      <c r="A26" t="s">
        <v>335</v>
      </c>
    </row>
    <row r="27" spans="1:1" x14ac:dyDescent="0.3">
      <c r="A27" t="s">
        <v>336</v>
      </c>
    </row>
    <row r="28" spans="1:1" x14ac:dyDescent="0.3">
      <c r="A28" t="s">
        <v>337</v>
      </c>
    </row>
    <row r="29" spans="1:1" x14ac:dyDescent="0.3">
      <c r="A29" t="s">
        <v>338</v>
      </c>
    </row>
    <row r="30" spans="1:1" x14ac:dyDescent="0.3">
      <c r="A30" t="s">
        <v>339</v>
      </c>
    </row>
    <row r="31" spans="1:1" x14ac:dyDescent="0.3">
      <c r="A31" t="s">
        <v>340</v>
      </c>
    </row>
    <row r="32" spans="1:1" x14ac:dyDescent="0.3">
      <c r="A32" t="s">
        <v>279</v>
      </c>
    </row>
    <row r="33" spans="1:1" x14ac:dyDescent="0.3">
      <c r="A33" t="s">
        <v>279</v>
      </c>
    </row>
    <row r="34" spans="1:1" x14ac:dyDescent="0.3">
      <c r="A34" t="s">
        <v>85</v>
      </c>
    </row>
    <row r="35" spans="1:1" x14ac:dyDescent="0.3">
      <c r="A35" t="s">
        <v>279</v>
      </c>
    </row>
    <row r="36" spans="1:1" x14ac:dyDescent="0.3">
      <c r="A36" t="s">
        <v>279</v>
      </c>
    </row>
    <row r="37" spans="1:1" x14ac:dyDescent="0.3">
      <c r="A37" t="s">
        <v>341</v>
      </c>
    </row>
    <row r="38" spans="1:1" x14ac:dyDescent="0.3">
      <c r="A38" t="s">
        <v>279</v>
      </c>
    </row>
    <row r="39" spans="1:1" x14ac:dyDescent="0.3">
      <c r="A39" t="s">
        <v>279</v>
      </c>
    </row>
    <row r="40" spans="1:1" x14ac:dyDescent="0.3">
      <c r="A40" t="s">
        <v>342</v>
      </c>
    </row>
    <row r="41" spans="1:1" x14ac:dyDescent="0.3">
      <c r="A41" t="s">
        <v>279</v>
      </c>
    </row>
    <row r="42" spans="1:1" x14ac:dyDescent="0.3">
      <c r="A42" t="s">
        <v>279</v>
      </c>
    </row>
    <row r="43" spans="1:1" x14ac:dyDescent="0.3">
      <c r="A43" t="s">
        <v>343</v>
      </c>
    </row>
    <row r="44" spans="1:1" x14ac:dyDescent="0.3">
      <c r="A44" t="s">
        <v>279</v>
      </c>
    </row>
    <row r="45" spans="1:1" x14ac:dyDescent="0.3">
      <c r="A45" t="s">
        <v>279</v>
      </c>
    </row>
    <row r="46" spans="1:1" x14ac:dyDescent="0.3">
      <c r="A46" t="s">
        <v>344</v>
      </c>
    </row>
    <row r="47" spans="1:1" x14ac:dyDescent="0.3">
      <c r="A47" t="s">
        <v>345</v>
      </c>
    </row>
    <row r="48" spans="1:1" x14ac:dyDescent="0.3">
      <c r="A48" t="s">
        <v>346</v>
      </c>
    </row>
    <row r="49" spans="1:1" x14ac:dyDescent="0.3">
      <c r="A49" t="s">
        <v>102</v>
      </c>
    </row>
    <row r="50" spans="1:1" x14ac:dyDescent="0.3">
      <c r="A50" t="s">
        <v>347</v>
      </c>
    </row>
    <row r="51" spans="1:1" x14ac:dyDescent="0.3">
      <c r="A51" t="s">
        <v>348</v>
      </c>
    </row>
    <row r="52" spans="1:1" x14ac:dyDescent="0.3">
      <c r="A52" t="s">
        <v>349</v>
      </c>
    </row>
    <row r="53" spans="1:1" x14ac:dyDescent="0.3">
      <c r="A53" t="s">
        <v>279</v>
      </c>
    </row>
    <row r="54" spans="1:1" x14ac:dyDescent="0.3">
      <c r="A54" t="s">
        <v>279</v>
      </c>
    </row>
    <row r="55" spans="1:1" x14ac:dyDescent="0.3">
      <c r="A55" t="s">
        <v>105</v>
      </c>
    </row>
    <row r="56" spans="1:1" x14ac:dyDescent="0.3">
      <c r="A56" t="s">
        <v>350</v>
      </c>
    </row>
    <row r="57" spans="1:1" x14ac:dyDescent="0.3">
      <c r="A57" t="s">
        <v>351</v>
      </c>
    </row>
    <row r="58" spans="1:1" x14ac:dyDescent="0.3">
      <c r="A58" t="s">
        <v>108</v>
      </c>
    </row>
    <row r="59" spans="1:1" x14ac:dyDescent="0.3">
      <c r="A59" t="s">
        <v>352</v>
      </c>
    </row>
    <row r="60" spans="1:1" x14ac:dyDescent="0.3">
      <c r="A60" t="s">
        <v>353</v>
      </c>
    </row>
    <row r="61" spans="1:1" x14ac:dyDescent="0.3">
      <c r="A61" t="s">
        <v>354</v>
      </c>
    </row>
    <row r="62" spans="1:1" x14ac:dyDescent="0.3">
      <c r="A62" t="s">
        <v>279</v>
      </c>
    </row>
    <row r="63" spans="1:1" x14ac:dyDescent="0.3">
      <c r="A63" t="s">
        <v>279</v>
      </c>
    </row>
    <row r="64" spans="1:1" x14ac:dyDescent="0.3">
      <c r="A64" t="s">
        <v>355</v>
      </c>
    </row>
    <row r="65" spans="1:1" x14ac:dyDescent="0.3">
      <c r="A65" t="s">
        <v>279</v>
      </c>
    </row>
    <row r="66" spans="1:1" x14ac:dyDescent="0.3">
      <c r="A66" t="s">
        <v>279</v>
      </c>
    </row>
    <row r="67" spans="1:1" x14ac:dyDescent="0.3">
      <c r="A67" t="s">
        <v>356</v>
      </c>
    </row>
    <row r="68" spans="1:1" x14ac:dyDescent="0.3">
      <c r="A68" t="s">
        <v>357</v>
      </c>
    </row>
    <row r="69" spans="1:1" x14ac:dyDescent="0.3">
      <c r="A69" t="s">
        <v>357</v>
      </c>
    </row>
    <row r="70" spans="1:1" x14ac:dyDescent="0.3">
      <c r="A70" t="s">
        <v>358</v>
      </c>
    </row>
    <row r="71" spans="1:1" x14ac:dyDescent="0.3">
      <c r="A71" t="s">
        <v>359</v>
      </c>
    </row>
    <row r="72" spans="1:1" x14ac:dyDescent="0.3">
      <c r="A72" t="s">
        <v>359</v>
      </c>
    </row>
    <row r="73" spans="1:1" x14ac:dyDescent="0.3">
      <c r="A73" t="s">
        <v>360</v>
      </c>
    </row>
    <row r="74" spans="1:1" x14ac:dyDescent="0.3">
      <c r="A74" t="s">
        <v>279</v>
      </c>
    </row>
    <row r="75" spans="1:1" x14ac:dyDescent="0.3">
      <c r="A75" t="s">
        <v>279</v>
      </c>
    </row>
    <row r="76" spans="1:1" x14ac:dyDescent="0.3">
      <c r="A76" t="s">
        <v>361</v>
      </c>
    </row>
    <row r="77" spans="1:1" x14ac:dyDescent="0.3">
      <c r="A77" t="s">
        <v>362</v>
      </c>
    </row>
    <row r="78" spans="1:1" x14ac:dyDescent="0.3">
      <c r="A78" t="s">
        <v>362</v>
      </c>
    </row>
    <row r="79" spans="1:1" x14ac:dyDescent="0.3">
      <c r="A79" t="s">
        <v>363</v>
      </c>
    </row>
    <row r="80" spans="1:1" x14ac:dyDescent="0.3">
      <c r="A80" t="s">
        <v>364</v>
      </c>
    </row>
    <row r="81" spans="1:1" x14ac:dyDescent="0.3">
      <c r="A81" t="s">
        <v>279</v>
      </c>
    </row>
    <row r="82" spans="1:1" x14ac:dyDescent="0.3">
      <c r="A82" t="s">
        <v>365</v>
      </c>
    </row>
    <row r="83" spans="1:1" x14ac:dyDescent="0.3">
      <c r="A83" t="s">
        <v>366</v>
      </c>
    </row>
    <row r="84" spans="1:1" x14ac:dyDescent="0.3">
      <c r="A84" t="s">
        <v>364</v>
      </c>
    </row>
    <row r="85" spans="1:1" x14ac:dyDescent="0.3">
      <c r="A85" t="s">
        <v>367</v>
      </c>
    </row>
    <row r="86" spans="1:1" x14ac:dyDescent="0.3">
      <c r="A86" t="s">
        <v>315</v>
      </c>
    </row>
    <row r="87" spans="1:1" x14ac:dyDescent="0.3">
      <c r="A87" t="s">
        <v>316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76A48-A6AE-46C2-9A8E-DF23366C584B}">
  <dimension ref="A1:A177"/>
  <sheetViews>
    <sheetView tabSelected="1" topLeftCell="A165" workbookViewId="0">
      <selection activeCell="I177" sqref="I177"/>
    </sheetView>
  </sheetViews>
  <sheetFormatPr defaultRowHeight="14.4" x14ac:dyDescent="0.3"/>
  <cols>
    <col min="1" max="1" width="80.88671875" bestFit="1" customWidth="1"/>
  </cols>
  <sheetData>
    <row r="1" spans="1:1" x14ac:dyDescent="0.3">
      <c r="A1" t="s">
        <v>1</v>
      </c>
    </row>
    <row r="2" spans="1:1" x14ac:dyDescent="0.3">
      <c r="A2" t="s">
        <v>2</v>
      </c>
    </row>
    <row r="3" spans="1:1" x14ac:dyDescent="0.3">
      <c r="A3" t="s">
        <v>368</v>
      </c>
    </row>
    <row r="4" spans="1:1" x14ac:dyDescent="0.3">
      <c r="A4" t="s">
        <v>369</v>
      </c>
    </row>
    <row r="5" spans="1:1" x14ac:dyDescent="0.3">
      <c r="A5" t="s">
        <v>370</v>
      </c>
    </row>
    <row r="6" spans="1:1" x14ac:dyDescent="0.3">
      <c r="A6" t="s">
        <v>371</v>
      </c>
    </row>
    <row r="7" spans="1:1" x14ac:dyDescent="0.3">
      <c r="A7" t="s">
        <v>372</v>
      </c>
    </row>
    <row r="8" spans="1:1" x14ac:dyDescent="0.3">
      <c r="A8" t="s">
        <v>373</v>
      </c>
    </row>
    <row r="9" spans="1:1" x14ac:dyDescent="0.3">
      <c r="A9" t="s">
        <v>374</v>
      </c>
    </row>
    <row r="10" spans="1:1" x14ac:dyDescent="0.3">
      <c r="A10" t="s">
        <v>375</v>
      </c>
    </row>
    <row r="11" spans="1:1" x14ac:dyDescent="0.3">
      <c r="A11" t="s">
        <v>376</v>
      </c>
    </row>
    <row r="12" spans="1:1" x14ac:dyDescent="0.3">
      <c r="A12" t="s">
        <v>377</v>
      </c>
    </row>
    <row r="13" spans="1:1" x14ac:dyDescent="0.3">
      <c r="A13" t="s">
        <v>378</v>
      </c>
    </row>
    <row r="14" spans="1:1" x14ac:dyDescent="0.3">
      <c r="A14" t="s">
        <v>379</v>
      </c>
    </row>
    <row r="15" spans="1:1" x14ac:dyDescent="0.3">
      <c r="A15" t="s">
        <v>380</v>
      </c>
    </row>
    <row r="16" spans="1:1" x14ac:dyDescent="0.3">
      <c r="A16" t="s">
        <v>381</v>
      </c>
    </row>
    <row r="17" spans="1:1" x14ac:dyDescent="0.3">
      <c r="A17" t="s">
        <v>382</v>
      </c>
    </row>
    <row r="18" spans="1:1" x14ac:dyDescent="0.3">
      <c r="A18" t="s">
        <v>383</v>
      </c>
    </row>
    <row r="19" spans="1:1" x14ac:dyDescent="0.3">
      <c r="A19" t="s">
        <v>279</v>
      </c>
    </row>
    <row r="20" spans="1:1" x14ac:dyDescent="0.3">
      <c r="A20" t="s">
        <v>279</v>
      </c>
    </row>
    <row r="21" spans="1:1" x14ac:dyDescent="0.3">
      <c r="A21" t="s">
        <v>384</v>
      </c>
    </row>
    <row r="22" spans="1:1" x14ac:dyDescent="0.3">
      <c r="A22" t="s">
        <v>279</v>
      </c>
    </row>
    <row r="23" spans="1:1" x14ac:dyDescent="0.3">
      <c r="A23" t="s">
        <v>385</v>
      </c>
    </row>
    <row r="24" spans="1:1" x14ac:dyDescent="0.3">
      <c r="A24" t="s">
        <v>386</v>
      </c>
    </row>
    <row r="25" spans="1:1" x14ac:dyDescent="0.3">
      <c r="A25" t="s">
        <v>387</v>
      </c>
    </row>
    <row r="26" spans="1:1" x14ac:dyDescent="0.3">
      <c r="A26" t="s">
        <v>388</v>
      </c>
    </row>
    <row r="27" spans="1:1" x14ac:dyDescent="0.3">
      <c r="A27" t="s">
        <v>389</v>
      </c>
    </row>
    <row r="28" spans="1:1" x14ac:dyDescent="0.3">
      <c r="A28" t="s">
        <v>390</v>
      </c>
    </row>
    <row r="29" spans="1:1" x14ac:dyDescent="0.3">
      <c r="A29" t="s">
        <v>390</v>
      </c>
    </row>
    <row r="30" spans="1:1" x14ac:dyDescent="0.3">
      <c r="A30" t="s">
        <v>391</v>
      </c>
    </row>
    <row r="31" spans="1:1" x14ac:dyDescent="0.3">
      <c r="A31" t="s">
        <v>392</v>
      </c>
    </row>
    <row r="32" spans="1:1" x14ac:dyDescent="0.3">
      <c r="A32" t="s">
        <v>393</v>
      </c>
    </row>
    <row r="33" spans="1:1" x14ac:dyDescent="0.3">
      <c r="A33" t="s">
        <v>394</v>
      </c>
    </row>
    <row r="34" spans="1:1" x14ac:dyDescent="0.3">
      <c r="A34" t="s">
        <v>395</v>
      </c>
    </row>
    <row r="35" spans="1:1" x14ac:dyDescent="0.3">
      <c r="A35" t="s">
        <v>396</v>
      </c>
    </row>
    <row r="36" spans="1:1" x14ac:dyDescent="0.3">
      <c r="A36" t="s">
        <v>397</v>
      </c>
    </row>
    <row r="37" spans="1:1" x14ac:dyDescent="0.3">
      <c r="A37" t="s">
        <v>279</v>
      </c>
    </row>
    <row r="38" spans="1:1" x14ac:dyDescent="0.3">
      <c r="A38" t="s">
        <v>279</v>
      </c>
    </row>
    <row r="39" spans="1:1" x14ac:dyDescent="0.3">
      <c r="A39" t="s">
        <v>398</v>
      </c>
    </row>
    <row r="40" spans="1:1" x14ac:dyDescent="0.3">
      <c r="A40" t="s">
        <v>279</v>
      </c>
    </row>
    <row r="41" spans="1:1" x14ac:dyDescent="0.3">
      <c r="A41" t="s">
        <v>279</v>
      </c>
    </row>
    <row r="42" spans="1:1" x14ac:dyDescent="0.3">
      <c r="A42" t="s">
        <v>399</v>
      </c>
    </row>
    <row r="43" spans="1:1" x14ac:dyDescent="0.3">
      <c r="A43" t="s">
        <v>279</v>
      </c>
    </row>
    <row r="44" spans="1:1" x14ac:dyDescent="0.3">
      <c r="A44" t="s">
        <v>279</v>
      </c>
    </row>
    <row r="45" spans="1:1" x14ac:dyDescent="0.3">
      <c r="A45" t="s">
        <v>400</v>
      </c>
    </row>
    <row r="46" spans="1:1" x14ac:dyDescent="0.3">
      <c r="A46" t="s">
        <v>401</v>
      </c>
    </row>
    <row r="47" spans="1:1" x14ac:dyDescent="0.3">
      <c r="A47" t="s">
        <v>1</v>
      </c>
    </row>
    <row r="48" spans="1:1" x14ac:dyDescent="0.3">
      <c r="A48" t="s">
        <v>142</v>
      </c>
    </row>
    <row r="49" spans="1:1" x14ac:dyDescent="0.3">
      <c r="A49" t="s">
        <v>402</v>
      </c>
    </row>
    <row r="50" spans="1:1" x14ac:dyDescent="0.3">
      <c r="A50" t="s">
        <v>403</v>
      </c>
    </row>
    <row r="51" spans="1:1" x14ac:dyDescent="0.3">
      <c r="A51" t="s">
        <v>404</v>
      </c>
    </row>
    <row r="52" spans="1:1" x14ac:dyDescent="0.3">
      <c r="A52" t="s">
        <v>405</v>
      </c>
    </row>
    <row r="53" spans="1:1" x14ac:dyDescent="0.3">
      <c r="A53" t="s">
        <v>406</v>
      </c>
    </row>
    <row r="54" spans="1:1" x14ac:dyDescent="0.3">
      <c r="A54" t="s">
        <v>407</v>
      </c>
    </row>
    <row r="55" spans="1:1" x14ac:dyDescent="0.3">
      <c r="A55" t="s">
        <v>408</v>
      </c>
    </row>
    <row r="56" spans="1:1" x14ac:dyDescent="0.3">
      <c r="A56" t="s">
        <v>409</v>
      </c>
    </row>
    <row r="57" spans="1:1" x14ac:dyDescent="0.3">
      <c r="A57" t="s">
        <v>410</v>
      </c>
    </row>
    <row r="58" spans="1:1" x14ac:dyDescent="0.3">
      <c r="A58" t="s">
        <v>411</v>
      </c>
    </row>
    <row r="59" spans="1:1" x14ac:dyDescent="0.3">
      <c r="A59" t="s">
        <v>412</v>
      </c>
    </row>
    <row r="60" spans="1:1" x14ac:dyDescent="0.3">
      <c r="A60" t="s">
        <v>413</v>
      </c>
    </row>
    <row r="61" spans="1:1" x14ac:dyDescent="0.3">
      <c r="A61" t="s">
        <v>414</v>
      </c>
    </row>
    <row r="62" spans="1:1" x14ac:dyDescent="0.3">
      <c r="A62" t="s">
        <v>415</v>
      </c>
    </row>
    <row r="63" spans="1:1" x14ac:dyDescent="0.3">
      <c r="A63" t="s">
        <v>416</v>
      </c>
    </row>
    <row r="64" spans="1:1" x14ac:dyDescent="0.3">
      <c r="A64" t="s">
        <v>417</v>
      </c>
    </row>
    <row r="65" spans="1:1" x14ac:dyDescent="0.3">
      <c r="A65" t="s">
        <v>279</v>
      </c>
    </row>
    <row r="66" spans="1:1" x14ac:dyDescent="0.3">
      <c r="A66" t="s">
        <v>279</v>
      </c>
    </row>
    <row r="67" spans="1:1" x14ac:dyDescent="0.3">
      <c r="A67" t="s">
        <v>418</v>
      </c>
    </row>
    <row r="68" spans="1:1" x14ac:dyDescent="0.3">
      <c r="A68">
        <v>32</v>
      </c>
    </row>
    <row r="69" spans="1:1" x14ac:dyDescent="0.3">
      <c r="A69">
        <v>32</v>
      </c>
    </row>
    <row r="70" spans="1:1" x14ac:dyDescent="0.3">
      <c r="A70" t="s">
        <v>419</v>
      </c>
    </row>
    <row r="71" spans="1:1" x14ac:dyDescent="0.3">
      <c r="A71">
        <v>11</v>
      </c>
    </row>
    <row r="72" spans="1:1" x14ac:dyDescent="0.3">
      <c r="A72">
        <v>16</v>
      </c>
    </row>
    <row r="73" spans="1:1" x14ac:dyDescent="0.3">
      <c r="A73" t="s">
        <v>420</v>
      </c>
    </row>
    <row r="74" spans="1:1" x14ac:dyDescent="0.3">
      <c r="A74" t="s">
        <v>421</v>
      </c>
    </row>
    <row r="75" spans="1:1" x14ac:dyDescent="0.3">
      <c r="A75" t="s">
        <v>422</v>
      </c>
    </row>
    <row r="76" spans="1:1" x14ac:dyDescent="0.3">
      <c r="A76" t="s">
        <v>423</v>
      </c>
    </row>
    <row r="77" spans="1:1" x14ac:dyDescent="0.3">
      <c r="A77" t="s">
        <v>424</v>
      </c>
    </row>
    <row r="78" spans="1:1" x14ac:dyDescent="0.3">
      <c r="A78" t="s">
        <v>425</v>
      </c>
    </row>
    <row r="79" spans="1:1" x14ac:dyDescent="0.3">
      <c r="A79" t="s">
        <v>426</v>
      </c>
    </row>
    <row r="80" spans="1:1" x14ac:dyDescent="0.3">
      <c r="A80" t="s">
        <v>279</v>
      </c>
    </row>
    <row r="81" spans="1:1" x14ac:dyDescent="0.3">
      <c r="A81" t="s">
        <v>279</v>
      </c>
    </row>
    <row r="82" spans="1:1" x14ac:dyDescent="0.3">
      <c r="A82" t="s">
        <v>427</v>
      </c>
    </row>
    <row r="83" spans="1:1" x14ac:dyDescent="0.3">
      <c r="A83" t="s">
        <v>428</v>
      </c>
    </row>
    <row r="84" spans="1:1" x14ac:dyDescent="0.3">
      <c r="A84" t="s">
        <v>429</v>
      </c>
    </row>
    <row r="85" spans="1:1" x14ac:dyDescent="0.3">
      <c r="A85" t="s">
        <v>430</v>
      </c>
    </row>
    <row r="86" spans="1:1" x14ac:dyDescent="0.3">
      <c r="A86" t="s">
        <v>431</v>
      </c>
    </row>
    <row r="87" spans="1:1" x14ac:dyDescent="0.3">
      <c r="A87" t="s">
        <v>432</v>
      </c>
    </row>
    <row r="88" spans="1:1" x14ac:dyDescent="0.3">
      <c r="A88" t="s">
        <v>433</v>
      </c>
    </row>
    <row r="89" spans="1:1" x14ac:dyDescent="0.3">
      <c r="A89" t="s">
        <v>434</v>
      </c>
    </row>
    <row r="90" spans="1:1" x14ac:dyDescent="0.3">
      <c r="A90" t="s">
        <v>435</v>
      </c>
    </row>
    <row r="91" spans="1:1" x14ac:dyDescent="0.3">
      <c r="A91" t="s">
        <v>436</v>
      </c>
    </row>
    <row r="92" spans="1:1" x14ac:dyDescent="0.3">
      <c r="A92" t="s">
        <v>279</v>
      </c>
    </row>
    <row r="93" spans="1:1" x14ac:dyDescent="0.3">
      <c r="A93" t="s">
        <v>279</v>
      </c>
    </row>
    <row r="94" spans="1:1" x14ac:dyDescent="0.3">
      <c r="A94" t="s">
        <v>437</v>
      </c>
    </row>
    <row r="95" spans="1:1" x14ac:dyDescent="0.3">
      <c r="A95" t="s">
        <v>279</v>
      </c>
    </row>
    <row r="96" spans="1:1" x14ac:dyDescent="0.3">
      <c r="A96" t="s">
        <v>279</v>
      </c>
    </row>
    <row r="97" spans="1:1" x14ac:dyDescent="0.3">
      <c r="A97" t="s">
        <v>438</v>
      </c>
    </row>
    <row r="98" spans="1:1" x14ac:dyDescent="0.3">
      <c r="A98">
        <v>40</v>
      </c>
    </row>
    <row r="99" spans="1:1" x14ac:dyDescent="0.3">
      <c r="A99">
        <v>40</v>
      </c>
    </row>
    <row r="100" spans="1:1" x14ac:dyDescent="0.3">
      <c r="A100" t="s">
        <v>439</v>
      </c>
    </row>
    <row r="101" spans="1:1" x14ac:dyDescent="0.3">
      <c r="A101">
        <v>11</v>
      </c>
    </row>
    <row r="102" spans="1:1" x14ac:dyDescent="0.3">
      <c r="A102">
        <v>11</v>
      </c>
    </row>
    <row r="103" spans="1:1" x14ac:dyDescent="0.3">
      <c r="A103" t="s">
        <v>440</v>
      </c>
    </row>
    <row r="104" spans="1:1" x14ac:dyDescent="0.3">
      <c r="A104" t="s">
        <v>441</v>
      </c>
    </row>
    <row r="105" spans="1:1" x14ac:dyDescent="0.3">
      <c r="A105" t="s">
        <v>442</v>
      </c>
    </row>
    <row r="106" spans="1:1" x14ac:dyDescent="0.3">
      <c r="A106" t="s">
        <v>443</v>
      </c>
    </row>
    <row r="107" spans="1:1" x14ac:dyDescent="0.3">
      <c r="A107" t="s">
        <v>279</v>
      </c>
    </row>
    <row r="108" spans="1:1" x14ac:dyDescent="0.3">
      <c r="A108" t="s">
        <v>279</v>
      </c>
    </row>
    <row r="109" spans="1:1" x14ac:dyDescent="0.3">
      <c r="A109" t="s">
        <v>194</v>
      </c>
    </row>
    <row r="110" spans="1:1" x14ac:dyDescent="0.3">
      <c r="A110" t="s">
        <v>444</v>
      </c>
    </row>
    <row r="111" spans="1:1" x14ac:dyDescent="0.3">
      <c r="A111" t="s">
        <v>445</v>
      </c>
    </row>
    <row r="112" spans="1:1" x14ac:dyDescent="0.3">
      <c r="A112" t="s">
        <v>446</v>
      </c>
    </row>
    <row r="113" spans="1:1" x14ac:dyDescent="0.3">
      <c r="A113" t="s">
        <v>447</v>
      </c>
    </row>
    <row r="114" spans="1:1" x14ac:dyDescent="0.3">
      <c r="A114" t="s">
        <v>448</v>
      </c>
    </row>
    <row r="115" spans="1:1" x14ac:dyDescent="0.3">
      <c r="A115" t="s">
        <v>449</v>
      </c>
    </row>
    <row r="116" spans="1:1" x14ac:dyDescent="0.3">
      <c r="A116" t="s">
        <v>450</v>
      </c>
    </row>
    <row r="117" spans="1:1" x14ac:dyDescent="0.3">
      <c r="A117" t="s">
        <v>451</v>
      </c>
    </row>
    <row r="118" spans="1:1" x14ac:dyDescent="0.3">
      <c r="A118" t="s">
        <v>452</v>
      </c>
    </row>
    <row r="119" spans="1:1" x14ac:dyDescent="0.3">
      <c r="A119" t="s">
        <v>453</v>
      </c>
    </row>
    <row r="120" spans="1:1" x14ac:dyDescent="0.3">
      <c r="A120" t="s">
        <v>454</v>
      </c>
    </row>
    <row r="121" spans="1:1" x14ac:dyDescent="0.3">
      <c r="A121" t="s">
        <v>455</v>
      </c>
    </row>
    <row r="122" spans="1:1" x14ac:dyDescent="0.3">
      <c r="A122" t="s">
        <v>456</v>
      </c>
    </row>
    <row r="123" spans="1:1" x14ac:dyDescent="0.3">
      <c r="A123" t="s">
        <v>457</v>
      </c>
    </row>
    <row r="124" spans="1:1" x14ac:dyDescent="0.3">
      <c r="A124" t="s">
        <v>458</v>
      </c>
    </row>
    <row r="125" spans="1:1" x14ac:dyDescent="0.3">
      <c r="A125" t="s">
        <v>459</v>
      </c>
    </row>
    <row r="126" spans="1:1" x14ac:dyDescent="0.3">
      <c r="A126" t="s">
        <v>460</v>
      </c>
    </row>
    <row r="127" spans="1:1" x14ac:dyDescent="0.3">
      <c r="A127" t="s">
        <v>461</v>
      </c>
    </row>
    <row r="128" spans="1:1" x14ac:dyDescent="0.3">
      <c r="A128" t="s">
        <v>462</v>
      </c>
    </row>
    <row r="129" spans="1:1" x14ac:dyDescent="0.3">
      <c r="A129" t="s">
        <v>463</v>
      </c>
    </row>
    <row r="130" spans="1:1" x14ac:dyDescent="0.3">
      <c r="A130" t="s">
        <v>464</v>
      </c>
    </row>
    <row r="131" spans="1:1" x14ac:dyDescent="0.3">
      <c r="A131" t="s">
        <v>465</v>
      </c>
    </row>
    <row r="132" spans="1:1" x14ac:dyDescent="0.3">
      <c r="A132" t="s">
        <v>466</v>
      </c>
    </row>
    <row r="133" spans="1:1" x14ac:dyDescent="0.3">
      <c r="A133" t="s">
        <v>467</v>
      </c>
    </row>
    <row r="134" spans="1:1" x14ac:dyDescent="0.3">
      <c r="A134" t="s">
        <v>468</v>
      </c>
    </row>
    <row r="135" spans="1:1" x14ac:dyDescent="0.3">
      <c r="A135" t="s">
        <v>469</v>
      </c>
    </row>
    <row r="136" spans="1:1" x14ac:dyDescent="0.3">
      <c r="A136" t="s">
        <v>470</v>
      </c>
    </row>
    <row r="137" spans="1:1" x14ac:dyDescent="0.3">
      <c r="A137" t="s">
        <v>471</v>
      </c>
    </row>
    <row r="138" spans="1:1" x14ac:dyDescent="0.3">
      <c r="A138" t="s">
        <v>472</v>
      </c>
    </row>
    <row r="139" spans="1:1" x14ac:dyDescent="0.3">
      <c r="A139" t="s">
        <v>473</v>
      </c>
    </row>
    <row r="140" spans="1:1" x14ac:dyDescent="0.3">
      <c r="A140" t="s">
        <v>474</v>
      </c>
    </row>
    <row r="141" spans="1:1" x14ac:dyDescent="0.3">
      <c r="A141" t="s">
        <v>475</v>
      </c>
    </row>
    <row r="142" spans="1:1" x14ac:dyDescent="0.3">
      <c r="A142" t="s">
        <v>476</v>
      </c>
    </row>
    <row r="143" spans="1:1" x14ac:dyDescent="0.3">
      <c r="A143" t="s">
        <v>477</v>
      </c>
    </row>
    <row r="144" spans="1:1" x14ac:dyDescent="0.3">
      <c r="A144" t="s">
        <v>478</v>
      </c>
    </row>
    <row r="145" spans="1:1" x14ac:dyDescent="0.3">
      <c r="A145" t="s">
        <v>479</v>
      </c>
    </row>
    <row r="146" spans="1:1" x14ac:dyDescent="0.3">
      <c r="A146" t="s">
        <v>480</v>
      </c>
    </row>
    <row r="147" spans="1:1" x14ac:dyDescent="0.3">
      <c r="A147" t="s">
        <v>481</v>
      </c>
    </row>
    <row r="148" spans="1:1" x14ac:dyDescent="0.3">
      <c r="A148" t="s">
        <v>482</v>
      </c>
    </row>
    <row r="149" spans="1:1" x14ac:dyDescent="0.3">
      <c r="A149" t="s">
        <v>483</v>
      </c>
    </row>
    <row r="150" spans="1:1" x14ac:dyDescent="0.3">
      <c r="A150" t="s">
        <v>484</v>
      </c>
    </row>
    <row r="151" spans="1:1" x14ac:dyDescent="0.3">
      <c r="A151" t="s">
        <v>485</v>
      </c>
    </row>
    <row r="152" spans="1:1" x14ac:dyDescent="0.3">
      <c r="A152" t="s">
        <v>486</v>
      </c>
    </row>
    <row r="153" spans="1:1" x14ac:dyDescent="0.3">
      <c r="A153" t="s">
        <v>487</v>
      </c>
    </row>
    <row r="154" spans="1:1" x14ac:dyDescent="0.3">
      <c r="A154" t="s">
        <v>488</v>
      </c>
    </row>
    <row r="155" spans="1:1" x14ac:dyDescent="0.3">
      <c r="A155" t="s">
        <v>489</v>
      </c>
    </row>
    <row r="156" spans="1:1" x14ac:dyDescent="0.3">
      <c r="A156" t="s">
        <v>490</v>
      </c>
    </row>
    <row r="157" spans="1:1" x14ac:dyDescent="0.3">
      <c r="A157" t="s">
        <v>491</v>
      </c>
    </row>
    <row r="158" spans="1:1" x14ac:dyDescent="0.3">
      <c r="A158" t="s">
        <v>492</v>
      </c>
    </row>
    <row r="159" spans="1:1" x14ac:dyDescent="0.3">
      <c r="A159" t="s">
        <v>493</v>
      </c>
    </row>
    <row r="160" spans="1:1" x14ac:dyDescent="0.3">
      <c r="A160" t="s">
        <v>494</v>
      </c>
    </row>
    <row r="161" spans="1:1" x14ac:dyDescent="0.3">
      <c r="A161" t="s">
        <v>495</v>
      </c>
    </row>
    <row r="162" spans="1:1" x14ac:dyDescent="0.3">
      <c r="A162" t="s">
        <v>496</v>
      </c>
    </row>
    <row r="163" spans="1:1" x14ac:dyDescent="0.3">
      <c r="A163" t="s">
        <v>497</v>
      </c>
    </row>
    <row r="164" spans="1:1" x14ac:dyDescent="0.3">
      <c r="A164" t="s">
        <v>498</v>
      </c>
    </row>
    <row r="165" spans="1:1" x14ac:dyDescent="0.3">
      <c r="A165" t="s">
        <v>499</v>
      </c>
    </row>
    <row r="166" spans="1:1" x14ac:dyDescent="0.3">
      <c r="A166" t="s">
        <v>500</v>
      </c>
    </row>
    <row r="167" spans="1:1" x14ac:dyDescent="0.3">
      <c r="A167" t="s">
        <v>501</v>
      </c>
    </row>
    <row r="168" spans="1:1" x14ac:dyDescent="0.3">
      <c r="A168" t="s">
        <v>502</v>
      </c>
    </row>
    <row r="169" spans="1:1" x14ac:dyDescent="0.3">
      <c r="A169" t="s">
        <v>503</v>
      </c>
    </row>
    <row r="170" spans="1:1" x14ac:dyDescent="0.3">
      <c r="A170" t="s">
        <v>504</v>
      </c>
    </row>
    <row r="171" spans="1:1" x14ac:dyDescent="0.3">
      <c r="A171" t="s">
        <v>505</v>
      </c>
    </row>
    <row r="172" spans="1:1" x14ac:dyDescent="0.3">
      <c r="A172" t="s">
        <v>506</v>
      </c>
    </row>
    <row r="173" spans="1:1" x14ac:dyDescent="0.3">
      <c r="A173" t="s">
        <v>507</v>
      </c>
    </row>
    <row r="174" spans="1:1" x14ac:dyDescent="0.3">
      <c r="A174" t="s">
        <v>508</v>
      </c>
    </row>
    <row r="175" spans="1:1" x14ac:dyDescent="0.3">
      <c r="A175" t="s">
        <v>509</v>
      </c>
    </row>
    <row r="176" spans="1:1" x14ac:dyDescent="0.3">
      <c r="A176" t="s">
        <v>366</v>
      </c>
    </row>
    <row r="177" spans="1:1" x14ac:dyDescent="0.3">
      <c r="A177" t="s"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ConsolidatedAssets</vt:lpstr>
      <vt:lpstr>ConsolidatedLiabilities</vt:lpstr>
      <vt:lpstr>ConsolidatedIncomeStatement</vt:lpstr>
      <vt:lpstr>Assets</vt:lpstr>
      <vt:lpstr>Liabilities</vt:lpstr>
      <vt:lpstr>IncomeStatement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Fenkouch</dc:creator>
  <cp:lastModifiedBy>Ayman Fenkouch</cp:lastModifiedBy>
  <dcterms:created xsi:type="dcterms:W3CDTF">2015-06-05T18:17:20Z</dcterms:created>
  <dcterms:modified xsi:type="dcterms:W3CDTF">2026-01-29T14:44:19Z</dcterms:modified>
</cp:coreProperties>
</file>